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 tabRatio="599"/>
  </bookViews>
  <sheets>
    <sheet name="引物合成订购表" sheetId="1" r:id="rId1"/>
    <sheet name="修饰名称" sheetId="5" state="hidden" r:id="rId2"/>
    <sheet name="帮助" sheetId="9" r:id="rId3"/>
    <sheet name="填写示例" sheetId="6" r:id="rId4"/>
    <sheet name="生物安全承诺书" sheetId="10" r:id="rId5"/>
  </sheets>
  <definedNames>
    <definedName name="_3’端修饰">修饰名称!#REF!</definedName>
    <definedName name="_5’端修饰">修饰名称!#REF!</definedName>
    <definedName name="两端修饰">修饰名称!#REF!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  <author>cs-19</author>
    <author>meizhen</author>
    <author>路科乘</author>
    <author>kiven</author>
    <author>梅榛</author>
    <author>panyingming</author>
  </authors>
  <commentList>
    <comment ref="A8" authorId="0">
      <text>
        <r>
          <rPr>
            <b/>
            <sz val="9"/>
            <rFont val="宋体"/>
            <charset val="134"/>
          </rPr>
          <t xml:space="preserve">填写说明：
</t>
        </r>
        <r>
          <rPr>
            <sz val="9"/>
            <rFont val="宋体"/>
            <charset val="134"/>
          </rPr>
          <t xml:space="preserve">建立客户档案需要，请必须填写。
</t>
        </r>
      </text>
    </comment>
    <comment ref="A13" authorId="1">
      <text>
        <r>
          <rPr>
            <b/>
            <sz val="9"/>
            <rFont val="宋体"/>
            <charset val="134"/>
          </rPr>
          <t>填写说明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如订货人与收货人不一致，请务必备注收货人姓名和手机联系方式</t>
        </r>
      </text>
    </comment>
    <comment ref="A15" authorId="0">
      <text>
        <r>
          <rPr>
            <b/>
            <sz val="9"/>
            <rFont val="宋体"/>
            <charset val="134"/>
          </rPr>
          <t xml:space="preserve">收费标准：
</t>
        </r>
        <r>
          <rPr>
            <sz val="9"/>
            <rFont val="宋体"/>
            <charset val="134"/>
          </rPr>
          <t>订单金额不满</t>
        </r>
        <r>
          <rPr>
            <sz val="9"/>
            <rFont val="Arial"/>
            <charset val="134"/>
          </rPr>
          <t>300</t>
        </r>
        <r>
          <rPr>
            <sz val="9"/>
            <rFont val="宋体"/>
            <charset val="134"/>
          </rPr>
          <t>元，需要加收快递费</t>
        </r>
        <r>
          <rPr>
            <sz val="9"/>
            <rFont val="Arial"/>
            <charset val="134"/>
          </rPr>
          <t>15</t>
        </r>
        <r>
          <rPr>
            <sz val="9"/>
            <rFont val="宋体"/>
            <charset val="134"/>
          </rPr>
          <t xml:space="preserve">元。
</t>
        </r>
        <r>
          <rPr>
            <sz val="9"/>
            <color indexed="12"/>
            <rFont val="宋体"/>
            <charset val="134"/>
          </rPr>
          <t>（必须确定有人接收）</t>
        </r>
      </text>
    </comment>
    <comment ref="A16" authorId="0">
      <text>
        <r>
          <rPr>
            <b/>
            <sz val="9"/>
            <rFont val="宋体"/>
            <charset val="134"/>
          </rPr>
          <t xml:space="preserve">部分发货：
</t>
        </r>
        <r>
          <rPr>
            <sz val="9"/>
            <rFont val="宋体"/>
            <charset val="134"/>
          </rPr>
          <t>如果您需要部分引物先发货，请选择“是”。</t>
        </r>
      </text>
    </comment>
    <comment ref="G16" authorId="2">
      <text>
        <r>
          <rPr>
            <b/>
            <sz val="9"/>
            <rFont val="宋体"/>
            <charset val="134"/>
          </rPr>
          <t>填写说明：</t>
        </r>
        <r>
          <rPr>
            <sz val="9"/>
            <rFont val="Arial"/>
            <charset val="134"/>
          </rPr>
          <t xml:space="preserve">
</t>
        </r>
        <r>
          <rPr>
            <sz val="9"/>
            <rFont val="宋体"/>
            <charset val="134"/>
          </rPr>
          <t>该项如不选择，默认不需要保密；如果选择</t>
        </r>
        <r>
          <rPr>
            <sz val="9"/>
            <rFont val="Arial"/>
            <charset val="134"/>
          </rPr>
          <t>“</t>
        </r>
        <r>
          <rPr>
            <sz val="9"/>
            <rFont val="宋体"/>
            <charset val="134"/>
          </rPr>
          <t>是</t>
        </r>
        <r>
          <rPr>
            <sz val="9"/>
            <rFont val="Arial"/>
            <charset val="134"/>
          </rPr>
          <t>”</t>
        </r>
        <r>
          <rPr>
            <sz val="9"/>
            <rFont val="宋体"/>
            <charset val="134"/>
          </rPr>
          <t>，您的质谱报告、发货清单和</t>
        </r>
        <r>
          <rPr>
            <sz val="9"/>
            <rFont val="Arial"/>
            <charset val="134"/>
          </rPr>
          <t>MES</t>
        </r>
        <r>
          <rPr>
            <sz val="9"/>
            <rFont val="宋体"/>
            <charset val="134"/>
          </rPr>
          <t>的订单查询界面都会使用</t>
        </r>
        <r>
          <rPr>
            <sz val="9"/>
            <rFont val="Arial"/>
            <charset val="134"/>
          </rPr>
          <t>*</t>
        </r>
        <r>
          <rPr>
            <sz val="9"/>
            <rFont val="宋体"/>
            <charset val="134"/>
          </rPr>
          <t>进行加密，防止序列泄露。</t>
        </r>
      </text>
    </comment>
    <comment ref="J16" authorId="3">
      <text>
        <r>
          <rPr>
            <sz val="9"/>
            <rFont val="宋体"/>
            <charset val="134"/>
          </rPr>
          <t>如果交付形式未填写，默认干粉。如需液体交付，请在下方选择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量下单。</t>
        </r>
      </text>
    </comment>
    <comment ref="G17" authorId="4">
      <text>
        <r>
          <rPr>
            <sz val="9"/>
            <rFont val="宋体"/>
            <charset val="134"/>
          </rPr>
          <t>纯化方式的选择请见</t>
        </r>
        <r>
          <rPr>
            <sz val="9"/>
            <rFont val="Arial"/>
            <charset val="134"/>
          </rPr>
          <t>Sheet</t>
        </r>
        <r>
          <rPr>
            <sz val="9"/>
            <rFont val="宋体"/>
            <charset val="134"/>
          </rPr>
          <t>《帮助》</t>
        </r>
      </text>
    </comment>
    <comment ref="H17" authorId="5">
      <text>
        <r>
          <rPr>
            <sz val="9"/>
            <rFont val="宋体"/>
            <charset val="134"/>
          </rPr>
          <t>如果您希望以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作为合成单位，请填写对应数值</t>
        </r>
      </text>
    </comment>
    <comment ref="I17" authorId="6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J17" authorId="6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K17" authorId="0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</commentList>
</comments>
</file>

<file path=xl/comments2.xml><?xml version="1.0" encoding="utf-8"?>
<comments xmlns="http://schemas.openxmlformats.org/spreadsheetml/2006/main">
  <authors>
    <author>kiven</author>
    <author>梅榛</author>
    <author>panyingming</author>
    <author>dell</author>
  </authors>
  <commentList>
    <comment ref="G2" authorId="0">
      <text>
        <r>
          <rPr>
            <sz val="9"/>
            <rFont val="宋体"/>
            <charset val="134"/>
          </rPr>
          <t>纯化方式的选择请见</t>
        </r>
        <r>
          <rPr>
            <sz val="9"/>
            <rFont val="Arial"/>
            <charset val="134"/>
          </rPr>
          <t>Sheet</t>
        </r>
        <r>
          <rPr>
            <sz val="9"/>
            <rFont val="宋体"/>
            <charset val="134"/>
          </rPr>
          <t>《帮助》</t>
        </r>
      </text>
    </comment>
    <comment ref="H2" authorId="1">
      <text>
        <r>
          <rPr>
            <sz val="9"/>
            <rFont val="宋体"/>
            <charset val="134"/>
          </rPr>
          <t>如果您希望以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作为合成单位，请填写对应数值</t>
        </r>
      </text>
    </comment>
    <comment ref="I2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J2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K2" authorId="3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G10" authorId="0">
      <text>
        <r>
          <rPr>
            <sz val="9"/>
            <rFont val="宋体"/>
            <charset val="134"/>
          </rPr>
          <t>纯化方式的选择请见</t>
        </r>
        <r>
          <rPr>
            <sz val="9"/>
            <rFont val="Arial"/>
            <charset val="134"/>
          </rPr>
          <t>Sheet</t>
        </r>
        <r>
          <rPr>
            <sz val="9"/>
            <rFont val="宋体"/>
            <charset val="134"/>
          </rPr>
          <t>《帮助》</t>
        </r>
      </text>
    </comment>
    <comment ref="H10" authorId="1">
      <text>
        <r>
          <rPr>
            <sz val="9"/>
            <rFont val="宋体"/>
            <charset val="134"/>
          </rPr>
          <t>如果您希望以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作为合成单位，请填写对应数值</t>
        </r>
      </text>
    </comment>
    <comment ref="I10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J10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K10" authorId="3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G18" authorId="0">
      <text>
        <r>
          <rPr>
            <sz val="9"/>
            <rFont val="宋体"/>
            <charset val="134"/>
          </rPr>
          <t>纯化方式的选择请见</t>
        </r>
        <r>
          <rPr>
            <sz val="9"/>
            <rFont val="Arial"/>
            <charset val="134"/>
          </rPr>
          <t>Sheet</t>
        </r>
        <r>
          <rPr>
            <sz val="9"/>
            <rFont val="宋体"/>
            <charset val="134"/>
          </rPr>
          <t>《帮助》</t>
        </r>
      </text>
    </comment>
    <comment ref="H18" authorId="1">
      <text>
        <r>
          <rPr>
            <sz val="9"/>
            <rFont val="宋体"/>
            <charset val="134"/>
          </rPr>
          <t>如果您希望以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作为合成单位，请填写对应数值</t>
        </r>
      </text>
    </comment>
    <comment ref="I18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J18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K18" authorId="3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G24" authorId="0">
      <text>
        <r>
          <rPr>
            <sz val="9"/>
            <rFont val="宋体"/>
            <charset val="134"/>
          </rPr>
          <t>纯化方式的选择请见</t>
        </r>
        <r>
          <rPr>
            <sz val="9"/>
            <rFont val="Arial"/>
            <charset val="134"/>
          </rPr>
          <t>Sheet</t>
        </r>
        <r>
          <rPr>
            <sz val="9"/>
            <rFont val="宋体"/>
            <charset val="134"/>
          </rPr>
          <t>《帮助》</t>
        </r>
      </text>
    </comment>
    <comment ref="H24" authorId="1">
      <text>
        <r>
          <rPr>
            <sz val="9"/>
            <rFont val="宋体"/>
            <charset val="134"/>
          </rPr>
          <t>如果您希望以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作为合成单位，请填写对应数值</t>
        </r>
      </text>
    </comment>
    <comment ref="I24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J24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K24" authorId="3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G30" authorId="0">
      <text>
        <r>
          <rPr>
            <sz val="9"/>
            <rFont val="宋体"/>
            <charset val="134"/>
          </rPr>
          <t>纯化方式的选择请见</t>
        </r>
        <r>
          <rPr>
            <sz val="9"/>
            <rFont val="Arial"/>
            <charset val="134"/>
          </rPr>
          <t>Sheet</t>
        </r>
        <r>
          <rPr>
            <sz val="9"/>
            <rFont val="宋体"/>
            <charset val="134"/>
          </rPr>
          <t>《帮助》</t>
        </r>
      </text>
    </comment>
    <comment ref="H30" authorId="1">
      <text>
        <r>
          <rPr>
            <sz val="9"/>
            <rFont val="宋体"/>
            <charset val="134"/>
          </rPr>
          <t>如果您希望以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作为合成单位，请填写对应数值</t>
        </r>
      </text>
    </comment>
    <comment ref="I30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J30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K30" authorId="3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G36" authorId="0">
      <text>
        <r>
          <rPr>
            <sz val="9"/>
            <rFont val="宋体"/>
            <charset val="134"/>
          </rPr>
          <t>纯化方式的选择请见</t>
        </r>
        <r>
          <rPr>
            <sz val="9"/>
            <rFont val="Arial"/>
            <charset val="134"/>
          </rPr>
          <t>Sheet</t>
        </r>
        <r>
          <rPr>
            <sz val="9"/>
            <rFont val="宋体"/>
            <charset val="134"/>
          </rPr>
          <t>《帮助》</t>
        </r>
      </text>
    </comment>
    <comment ref="H36" authorId="1">
      <text>
        <r>
          <rPr>
            <sz val="9"/>
            <rFont val="宋体"/>
            <charset val="134"/>
          </rPr>
          <t>如果您希望以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作为合成单位，请填写对应数值</t>
        </r>
      </text>
    </comment>
    <comment ref="I36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J36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K36" authorId="3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</commentList>
</comments>
</file>

<file path=xl/sharedStrings.xml><?xml version="1.0" encoding="utf-8"?>
<sst xmlns="http://schemas.openxmlformats.org/spreadsheetml/2006/main" count="1749" uniqueCount="763">
  <si>
    <r>
      <rPr>
        <b/>
        <sz val="16"/>
        <rFont val="Arial"/>
        <charset val="134"/>
      </rPr>
      <t xml:space="preserve">
</t>
    </r>
    <r>
      <rPr>
        <b/>
        <sz val="10"/>
        <rFont val="宋体"/>
        <charset val="134"/>
      </rPr>
      <t>全国免费电话：</t>
    </r>
    <r>
      <rPr>
        <b/>
        <sz val="10"/>
        <rFont val="Arial"/>
        <charset val="134"/>
      </rPr>
      <t xml:space="preserve">   </t>
    </r>
    <r>
      <rPr>
        <b/>
        <sz val="16"/>
        <rFont val="Arial"/>
        <charset val="134"/>
      </rPr>
      <t xml:space="preserve"> </t>
    </r>
  </si>
  <si>
    <r>
      <rPr>
        <b/>
        <sz val="16"/>
        <rFont val="宋体"/>
        <charset val="134"/>
      </rPr>
      <t>生工生物工程（上海）股份有限公司</t>
    </r>
    <r>
      <rPr>
        <b/>
        <sz val="16"/>
        <rFont val="Arial"/>
        <charset val="134"/>
      </rPr>
      <t xml:space="preserve">   </t>
    </r>
    <r>
      <rPr>
        <b/>
        <sz val="16"/>
        <rFont val="宋体"/>
        <charset val="134"/>
      </rPr>
      <t xml:space="preserve">引物合成订购表
</t>
    </r>
    <r>
      <rPr>
        <b/>
        <sz val="10"/>
        <rFont val="宋体"/>
        <charset val="134"/>
      </rPr>
      <t>免费热线电话：</t>
    </r>
    <r>
      <rPr>
        <b/>
        <sz val="10"/>
        <color indexed="62"/>
        <rFont val="Arial"/>
        <charset val="134"/>
      </rPr>
      <t>400-821-0268</t>
    </r>
    <r>
      <rPr>
        <b/>
        <sz val="10"/>
        <color indexed="62"/>
        <rFont val="宋体"/>
        <charset val="134"/>
      </rPr>
      <t>；</t>
    </r>
    <r>
      <rPr>
        <b/>
        <sz val="10"/>
        <color indexed="62"/>
        <rFont val="Arial"/>
        <charset val="134"/>
      </rPr>
      <t xml:space="preserve">800-820-1016   </t>
    </r>
    <r>
      <rPr>
        <b/>
        <sz val="10"/>
        <rFont val="宋体"/>
        <charset val="134"/>
      </rPr>
      <t>网址：</t>
    </r>
    <r>
      <rPr>
        <b/>
        <i/>
        <u/>
        <sz val="10"/>
        <color indexed="62"/>
        <rFont val="Arial"/>
        <charset val="134"/>
      </rPr>
      <t>www.sangon.com</t>
    </r>
  </si>
  <si>
    <t>订购日期：</t>
  </si>
  <si>
    <r>
      <rPr>
        <b/>
        <sz val="12"/>
        <color indexed="10"/>
        <rFont val="Arial"/>
        <charset val="134"/>
      </rPr>
      <t>*</t>
    </r>
    <r>
      <rPr>
        <b/>
        <sz val="10"/>
        <rFont val="宋体"/>
        <charset val="134"/>
      </rPr>
      <t>订购人姓名</t>
    </r>
  </si>
  <si>
    <t>测试用户</t>
  </si>
  <si>
    <r>
      <rPr>
        <b/>
        <sz val="10"/>
        <rFont val="宋体"/>
        <charset val="134"/>
      </rPr>
      <t>上海合成部</t>
    </r>
    <r>
      <rPr>
        <sz val="10"/>
        <rFont val="宋体"/>
        <charset val="134"/>
      </rPr>
      <t>：</t>
    </r>
    <r>
      <rPr>
        <i/>
        <sz val="10"/>
        <color indexed="30"/>
        <rFont val="Arial"/>
        <charset val="134"/>
      </rPr>
      <t xml:space="preserve">synth@sangon.com   </t>
    </r>
    <r>
      <rPr>
        <i/>
        <sz val="10"/>
        <color indexed="30"/>
        <rFont val="宋体"/>
        <charset val="134"/>
      </rPr>
      <t>电话：</t>
    </r>
    <r>
      <rPr>
        <i/>
        <sz val="10"/>
        <color indexed="30"/>
        <rFont val="Arial"/>
        <charset val="134"/>
      </rPr>
      <t>021-57072173/72/71</t>
    </r>
  </si>
  <si>
    <r>
      <rPr>
        <b/>
        <sz val="10"/>
        <rFont val="宋体"/>
        <charset val="134"/>
      </rPr>
      <t>北京合成部</t>
    </r>
    <r>
      <rPr>
        <sz val="10"/>
        <rFont val="宋体"/>
        <charset val="134"/>
      </rPr>
      <t>：</t>
    </r>
    <r>
      <rPr>
        <i/>
        <sz val="10"/>
        <color indexed="30"/>
        <rFont val="Arial"/>
        <charset val="134"/>
      </rPr>
      <t xml:space="preserve">beijing@sangon.com   </t>
    </r>
    <r>
      <rPr>
        <i/>
        <sz val="10"/>
        <color indexed="30"/>
        <rFont val="宋体"/>
        <charset val="134"/>
      </rPr>
      <t>电话：</t>
    </r>
    <r>
      <rPr>
        <i/>
        <sz val="10"/>
        <color indexed="30"/>
        <rFont val="Arial"/>
        <charset val="134"/>
      </rPr>
      <t>010-81767585/86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</si>
  <si>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订购人手机</t>
    </r>
  </si>
  <si>
    <r>
      <rPr>
        <b/>
        <sz val="10"/>
        <rFont val="宋体"/>
        <charset val="134"/>
      </rPr>
      <t>武汉合成部</t>
    </r>
    <r>
      <rPr>
        <sz val="10"/>
        <rFont val="宋体"/>
        <charset val="134"/>
      </rPr>
      <t>：</t>
    </r>
    <r>
      <rPr>
        <i/>
        <sz val="10"/>
        <color indexed="30"/>
        <rFont val="Arial"/>
        <charset val="134"/>
      </rPr>
      <t xml:space="preserve">whsynth@sangon.com   </t>
    </r>
    <r>
      <rPr>
        <i/>
        <sz val="10"/>
        <color indexed="30"/>
        <rFont val="宋体"/>
        <charset val="134"/>
      </rPr>
      <t>电话：</t>
    </r>
    <r>
      <rPr>
        <i/>
        <sz val="10"/>
        <color indexed="30"/>
        <rFont val="Arial"/>
        <charset val="134"/>
      </rPr>
      <t>027-65522298</t>
    </r>
  </si>
  <si>
    <r>
      <rPr>
        <b/>
        <sz val="10"/>
        <rFont val="宋体"/>
        <charset val="134"/>
      </rPr>
      <t>南京合成部</t>
    </r>
    <r>
      <rPr>
        <sz val="10"/>
        <rFont val="宋体"/>
        <charset val="134"/>
      </rPr>
      <t>：</t>
    </r>
    <r>
      <rPr>
        <i/>
        <sz val="10"/>
        <color indexed="30"/>
        <rFont val="Arial"/>
        <charset val="134"/>
      </rPr>
      <t xml:space="preserve">njsynth@sangon.com   </t>
    </r>
    <r>
      <rPr>
        <i/>
        <sz val="10"/>
        <color indexed="30"/>
        <rFont val="宋体"/>
        <charset val="134"/>
      </rPr>
      <t>电话：</t>
    </r>
    <r>
      <rPr>
        <i/>
        <sz val="10"/>
        <color indexed="30"/>
        <rFont val="Arial"/>
        <charset val="134"/>
      </rPr>
      <t>025-85383702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</si>
  <si>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订购人</t>
    </r>
    <r>
      <rPr>
        <b/>
        <sz val="10"/>
        <rFont val="Arial"/>
        <charset val="134"/>
      </rPr>
      <t>E-MAIL</t>
    </r>
    <r>
      <rPr>
        <b/>
        <sz val="10"/>
        <rFont val="宋体"/>
        <charset val="134"/>
      </rPr>
      <t>：</t>
    </r>
  </si>
  <si>
    <t>2827883762@qq.com</t>
  </si>
  <si>
    <r>
      <rPr>
        <i/>
        <sz val="10"/>
        <rFont val="宋体"/>
        <charset val="134"/>
      </rPr>
      <t>更多联系方式请查询生工官网（</t>
    </r>
    <r>
      <rPr>
        <i/>
        <sz val="10"/>
        <rFont val="Arial"/>
        <charset val="134"/>
      </rPr>
      <t>https://www.sangon.com</t>
    </r>
    <r>
      <rPr>
        <i/>
        <sz val="10"/>
        <rFont val="宋体"/>
        <charset val="134"/>
      </rPr>
      <t>）首页→联系我们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</si>
  <si>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负责人</t>
    </r>
    <r>
      <rPr>
        <b/>
        <sz val="10"/>
        <rFont val="Arial"/>
        <charset val="134"/>
      </rPr>
      <t>/</t>
    </r>
    <r>
      <rPr>
        <b/>
        <sz val="10"/>
        <rFont val="宋体"/>
        <charset val="134"/>
      </rPr>
      <t>法人：</t>
    </r>
  </si>
  <si>
    <t>测试法人</t>
  </si>
  <si>
    <r>
      <rPr>
        <b/>
        <sz val="10"/>
        <rFont val="宋体"/>
        <charset val="134"/>
      </rPr>
      <t>温馨提示：</t>
    </r>
    <r>
      <rPr>
        <sz val="10"/>
        <rFont val="Arial"/>
        <charset val="134"/>
      </rPr>
      <t xml:space="preserve">
1. </t>
    </r>
    <r>
      <rPr>
        <sz val="10"/>
        <rFont val="宋体"/>
        <charset val="134"/>
      </rPr>
      <t>此表格同时适用于线上和线下（</t>
    </r>
    <r>
      <rPr>
        <sz val="10"/>
        <rFont val="Arial"/>
        <charset val="134"/>
      </rPr>
      <t>E-mail</t>
    </r>
    <r>
      <rPr>
        <sz val="10"/>
        <rFont val="宋体"/>
        <charset val="134"/>
      </rPr>
      <t xml:space="preserve">）订单提交使用；
</t>
    </r>
    <r>
      <rPr>
        <sz val="10"/>
        <rFont val="Arial"/>
        <charset val="134"/>
      </rPr>
      <t xml:space="preserve">2. </t>
    </r>
    <r>
      <rPr>
        <sz val="10"/>
        <rFont val="宋体"/>
        <charset val="134"/>
      </rPr>
      <t>鼠标移至单元格右上角红色小三角查看批注提示。按批注提示，进一步查看</t>
    </r>
    <r>
      <rPr>
        <b/>
        <sz val="10"/>
        <color rgb="FFFF0000"/>
        <rFont val="微软雅黑"/>
        <charset val="134"/>
      </rPr>
      <t>“</t>
    </r>
    <r>
      <rPr>
        <b/>
        <sz val="10"/>
        <color rgb="FFFF0000"/>
        <rFont val="宋体"/>
        <charset val="134"/>
      </rPr>
      <t>帮助</t>
    </r>
    <r>
      <rPr>
        <b/>
        <sz val="10"/>
        <color rgb="FFFF0000"/>
        <rFont val="微软雅黑"/>
        <charset val="134"/>
      </rPr>
      <t>”</t>
    </r>
    <r>
      <rPr>
        <sz val="10"/>
        <rFont val="宋体"/>
        <charset val="134"/>
      </rPr>
      <t xml:space="preserve">工作表获取对选项更详细的解释和说明；
</t>
    </r>
    <r>
      <rPr>
        <sz val="10"/>
        <rFont val="Arial"/>
        <charset val="134"/>
      </rPr>
      <t xml:space="preserve">3. </t>
    </r>
    <r>
      <rPr>
        <sz val="10"/>
        <rFont val="宋体"/>
        <charset val="134"/>
      </rPr>
      <t>由于订单提交后由系统自动处理，请务必在订单提交前仔细核对所填写的信息，此表格中</t>
    </r>
    <r>
      <rPr>
        <sz val="10"/>
        <rFont val="Arial"/>
        <charset val="134"/>
      </rPr>
      <t>*</t>
    </r>
    <r>
      <rPr>
        <sz val="10"/>
        <rFont val="宋体"/>
        <charset val="134"/>
      </rPr>
      <t>号的字段为必填项，线下（</t>
    </r>
    <r>
      <rPr>
        <sz val="10"/>
        <rFont val="Arial"/>
        <charset val="134"/>
      </rPr>
      <t>E-mail</t>
    </r>
    <r>
      <rPr>
        <sz val="10"/>
        <rFont val="宋体"/>
        <charset val="134"/>
      </rPr>
      <t xml:space="preserve">）订单需完整填写表头部分信息，线上提交无需填写；
</t>
    </r>
    <r>
      <rPr>
        <sz val="10"/>
        <rFont val="Arial"/>
        <charset val="134"/>
      </rPr>
      <t>4.</t>
    </r>
    <r>
      <rPr>
        <sz val="10"/>
        <rFont val="宋体"/>
        <charset val="134"/>
      </rPr>
      <t>（</t>
    </r>
    <r>
      <rPr>
        <sz val="10"/>
        <rFont val="Arial"/>
        <charset val="134"/>
      </rPr>
      <t>E-mail</t>
    </r>
    <r>
      <rPr>
        <sz val="10"/>
        <rFont val="宋体"/>
        <charset val="134"/>
      </rPr>
      <t xml:space="preserve">）订单接收到邮件回复后将不能再更改或取消，如未收到邮件回复请电话确认，为了避免重复下订单，请您不要重复发送；
</t>
    </r>
    <r>
      <rPr>
        <sz val="10"/>
        <rFont val="Arial"/>
        <charset val="134"/>
      </rPr>
      <t xml:space="preserve">5. </t>
    </r>
    <r>
      <rPr>
        <sz val="10"/>
        <rFont val="宋体"/>
        <charset val="134"/>
      </rPr>
      <t>我们提供以</t>
    </r>
    <r>
      <rPr>
        <sz val="10"/>
        <rFont val="Arial"/>
        <charset val="134"/>
      </rPr>
      <t>OD</t>
    </r>
    <r>
      <rPr>
        <sz val="10"/>
        <rFont val="宋体"/>
        <charset val="134"/>
      </rPr>
      <t>量或</t>
    </r>
    <r>
      <rPr>
        <sz val="10"/>
        <rFont val="Arial"/>
        <charset val="134"/>
      </rPr>
      <t>nmoles</t>
    </r>
    <r>
      <rPr>
        <sz val="10"/>
        <rFont val="宋体"/>
        <charset val="134"/>
      </rPr>
      <t>为合成量提交订单，</t>
    </r>
    <r>
      <rPr>
        <b/>
        <sz val="10"/>
        <color rgb="FFFF0000"/>
        <rFont val="宋体"/>
        <charset val="134"/>
      </rPr>
      <t>两者任选其一填写即可</t>
    </r>
    <r>
      <rPr>
        <sz val="10"/>
        <rFont val="宋体"/>
        <charset val="134"/>
      </rPr>
      <t>，且都只能填写数字不能有其它字符，如两者均有填写默认以</t>
    </r>
    <r>
      <rPr>
        <sz val="10"/>
        <rFont val="Arial"/>
        <charset val="134"/>
      </rPr>
      <t>OD</t>
    </r>
    <r>
      <rPr>
        <sz val="10"/>
        <rFont val="宋体"/>
        <charset val="134"/>
      </rPr>
      <t>量为准；如交付形式选择</t>
    </r>
    <r>
      <rPr>
        <b/>
        <sz val="10"/>
        <color rgb="FFFF0000"/>
        <rFont val="宋体"/>
        <charset val="134"/>
      </rPr>
      <t>液体交付</t>
    </r>
    <r>
      <rPr>
        <sz val="10"/>
        <rFont val="宋体"/>
        <charset val="134"/>
      </rPr>
      <t>，请按</t>
    </r>
    <r>
      <rPr>
        <b/>
        <sz val="10"/>
        <color rgb="FFFF0000"/>
        <rFont val="Arial"/>
        <charset val="134"/>
      </rPr>
      <t>nmol</t>
    </r>
    <r>
      <rPr>
        <sz val="10"/>
        <rFont val="宋体"/>
        <charset val="134"/>
      </rPr>
      <t xml:space="preserve">下单；
</t>
    </r>
    <r>
      <rPr>
        <sz val="10"/>
        <rFont val="Arial"/>
        <charset val="134"/>
      </rPr>
      <t xml:space="preserve">6. </t>
    </r>
    <r>
      <rPr>
        <sz val="10"/>
        <rFont val="宋体"/>
        <charset val="134"/>
      </rPr>
      <t>此表格提交的引物条数没有上限，如引物条数超过</t>
    </r>
    <r>
      <rPr>
        <sz val="10"/>
        <rFont val="Arial"/>
        <charset val="134"/>
      </rPr>
      <t>ID</t>
    </r>
    <r>
      <rPr>
        <sz val="10"/>
        <rFont val="宋体"/>
        <charset val="134"/>
      </rPr>
      <t xml:space="preserve">编号可下拉继续填写；
</t>
    </r>
    <r>
      <rPr>
        <sz val="10"/>
        <rFont val="Arial"/>
        <charset val="134"/>
      </rPr>
      <t xml:space="preserve">7. </t>
    </r>
    <r>
      <rPr>
        <b/>
        <sz val="10"/>
        <color rgb="FFFF0000"/>
        <rFont val="宋体"/>
        <charset val="134"/>
      </rPr>
      <t>中间修饰的填写方法</t>
    </r>
    <r>
      <rPr>
        <sz val="10"/>
        <rFont val="宋体"/>
        <charset val="134"/>
      </rPr>
      <t>请结合表格中的</t>
    </r>
    <r>
      <rPr>
        <sz val="10"/>
        <rFont val="微软雅黑"/>
        <charset val="134"/>
      </rPr>
      <t>“</t>
    </r>
    <r>
      <rPr>
        <sz val="10"/>
        <rFont val="宋体"/>
        <charset val="134"/>
      </rPr>
      <t>帮助</t>
    </r>
    <r>
      <rPr>
        <sz val="10"/>
        <rFont val="微软雅黑"/>
        <charset val="134"/>
      </rPr>
      <t>”</t>
    </r>
    <r>
      <rPr>
        <sz val="10"/>
        <rFont val="宋体"/>
        <charset val="134"/>
      </rPr>
      <t>和</t>
    </r>
    <r>
      <rPr>
        <sz val="10"/>
        <rFont val="微软雅黑"/>
        <charset val="134"/>
      </rPr>
      <t>“</t>
    </r>
    <r>
      <rPr>
        <sz val="10"/>
        <rFont val="宋体"/>
        <charset val="134"/>
      </rPr>
      <t>填写示例</t>
    </r>
    <r>
      <rPr>
        <sz val="10"/>
        <rFont val="微软雅黑"/>
        <charset val="134"/>
      </rPr>
      <t>”</t>
    </r>
    <r>
      <rPr>
        <sz val="10"/>
        <rFont val="宋体"/>
        <charset val="134"/>
      </rPr>
      <t>工作表，其他内容详见各列项中的填写说明，您也可以在</t>
    </r>
    <r>
      <rPr>
        <sz val="10"/>
        <rFont val="微软雅黑"/>
        <charset val="134"/>
      </rPr>
      <t>“</t>
    </r>
    <r>
      <rPr>
        <sz val="10"/>
        <rFont val="宋体"/>
        <charset val="134"/>
      </rPr>
      <t>填写示例</t>
    </r>
    <r>
      <rPr>
        <sz val="10"/>
        <rFont val="微软雅黑"/>
        <charset val="134"/>
      </rPr>
      <t>”</t>
    </r>
    <r>
      <rPr>
        <sz val="10"/>
        <rFont val="宋体"/>
        <charset val="134"/>
      </rPr>
      <t xml:space="preserve">工作表中查看到各列项的填写方式；
</t>
    </r>
    <r>
      <rPr>
        <sz val="10"/>
        <rFont val="Arial"/>
        <charset val="134"/>
      </rPr>
      <t>8.</t>
    </r>
    <r>
      <rPr>
        <sz val="10"/>
        <rFont val="宋体"/>
        <charset val="134"/>
      </rPr>
      <t>如需</t>
    </r>
    <r>
      <rPr>
        <b/>
        <sz val="10"/>
        <color rgb="FFFF0000"/>
        <rFont val="宋体"/>
        <charset val="134"/>
      </rPr>
      <t>纸质合成报告单</t>
    </r>
    <r>
      <rPr>
        <sz val="10"/>
        <rFont val="宋体"/>
        <charset val="134"/>
      </rPr>
      <t xml:space="preserve">烦请在“纸质合成报告单”项处选择“是”，该项如不选择，默认不需要纸质合成报告单。
</t>
    </r>
    <r>
      <rPr>
        <b/>
        <sz val="10"/>
        <color rgb="FFFF0000"/>
        <rFont val="宋体"/>
        <charset val="134"/>
      </rPr>
      <t>重要提示：
请务必仔细阅读本表格</t>
    </r>
    <r>
      <rPr>
        <b/>
        <sz val="10"/>
        <color rgb="FFFF0000"/>
        <rFont val="Arial"/>
        <charset val="134"/>
      </rPr>
      <t>Sheet</t>
    </r>
    <r>
      <rPr>
        <b/>
        <sz val="10"/>
        <color rgb="FFFF0000"/>
        <rFont val="宋体"/>
        <charset val="134"/>
      </rPr>
      <t>之《生物安全承诺书》，邮件回复或确认此订购</t>
    </r>
    <r>
      <rPr>
        <b/>
        <sz val="10"/>
        <color rgb="FFFF0000"/>
        <rFont val="Arial"/>
        <charset val="134"/>
      </rPr>
      <t>/</t>
    </r>
    <r>
      <rPr>
        <b/>
        <sz val="10"/>
        <color rgb="FFFF0000"/>
        <rFont val="宋体"/>
        <charset val="134"/>
      </rPr>
      <t>样本信息表，视为同意并接受此承诺书中所有内容。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</si>
  <si>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固定电话：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</si>
  <si>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订购人单位：</t>
    </r>
  </si>
  <si>
    <t>测试单位</t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</si>
  <si>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发票抬头：</t>
    </r>
  </si>
  <si>
    <t>测试抬头</t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</si>
  <si>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付款方式：</t>
    </r>
  </si>
  <si>
    <t>协议支付</t>
  </si>
  <si>
    <r>
      <rPr>
        <b/>
        <sz val="10"/>
        <rFont val="宋体"/>
        <charset val="134"/>
      </rPr>
      <t>随货开票：</t>
    </r>
  </si>
  <si>
    <t>是</t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</si>
  <si>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收货地址：</t>
    </r>
  </si>
  <si>
    <t>测试地址</t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</si>
  <si>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备注：</t>
    </r>
  </si>
  <si>
    <t>测试用</t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</si>
  <si>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是否双休日发货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</si>
  <si>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是否部分先发货</t>
    </r>
  </si>
  <si>
    <r>
      <rPr>
        <b/>
        <i/>
        <sz val="10"/>
        <rFont val="宋体"/>
        <charset val="134"/>
      </rPr>
      <t>总碱基数</t>
    </r>
  </si>
  <si>
    <t>序列保密</t>
  </si>
  <si>
    <t>交付形式</t>
  </si>
  <si>
    <r>
      <rPr>
        <b/>
        <sz val="10"/>
        <rFont val="Arial"/>
        <charset val="134"/>
      </rPr>
      <t>ID</t>
    </r>
    <r>
      <rPr>
        <b/>
        <sz val="10"/>
        <rFont val="宋体"/>
        <charset val="134"/>
      </rPr>
      <t>（此处无需填写）</t>
    </r>
  </si>
  <si>
    <r>
      <rPr>
        <b/>
        <sz val="10"/>
        <rFont val="Arial"/>
        <charset val="134"/>
      </rPr>
      <t>Primer</t>
    </r>
    <r>
      <rPr>
        <b/>
        <sz val="10"/>
        <rFont val="宋体"/>
        <charset val="134"/>
      </rPr>
      <t>名称</t>
    </r>
  </si>
  <si>
    <r>
      <rPr>
        <b/>
        <sz val="10"/>
        <rFont val="宋体"/>
        <charset val="134"/>
      </rPr>
      <t>序列（</t>
    </r>
    <r>
      <rPr>
        <b/>
        <sz val="10"/>
        <rFont val="Arial"/>
        <charset val="134"/>
      </rPr>
      <t>5' to 3'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</si>
  <si>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碱基数</t>
    </r>
  </si>
  <si>
    <r>
      <rPr>
        <b/>
        <sz val="10"/>
        <rFont val="宋体"/>
        <charset val="134"/>
      </rPr>
      <t>分装管数</t>
    </r>
  </si>
  <si>
    <r>
      <rPr>
        <b/>
        <sz val="10"/>
        <rFont val="宋体"/>
        <charset val="134"/>
      </rPr>
      <t>提供总量（</t>
    </r>
    <r>
      <rPr>
        <b/>
        <sz val="10"/>
        <rFont val="Arial"/>
        <charset val="134"/>
      </rPr>
      <t>OD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</si>
  <si>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纯化方法</t>
    </r>
  </si>
  <si>
    <t>nmoles</t>
  </si>
  <si>
    <r>
      <rPr>
        <b/>
        <sz val="10"/>
        <rFont val="Arial"/>
        <charset val="134"/>
      </rPr>
      <t>5'</t>
    </r>
    <r>
      <rPr>
        <b/>
        <sz val="10"/>
        <rFont val="宋体"/>
        <charset val="134"/>
      </rPr>
      <t>端修饰</t>
    </r>
  </si>
  <si>
    <r>
      <rPr>
        <b/>
        <sz val="10"/>
        <rFont val="Arial"/>
        <charset val="134"/>
      </rPr>
      <t>3'</t>
    </r>
    <r>
      <rPr>
        <b/>
        <sz val="10"/>
        <rFont val="宋体"/>
        <charset val="134"/>
      </rPr>
      <t>端修饰</t>
    </r>
  </si>
  <si>
    <r>
      <rPr>
        <b/>
        <sz val="10"/>
        <rFont val="Arial"/>
        <charset val="134"/>
      </rPr>
      <t>5'</t>
    </r>
    <r>
      <rPr>
        <b/>
        <sz val="10"/>
        <rFont val="宋体"/>
        <charset val="134"/>
      </rPr>
      <t>端和</t>
    </r>
    <r>
      <rPr>
        <b/>
        <sz val="10"/>
        <rFont val="Arial"/>
        <charset val="134"/>
      </rPr>
      <t>3’</t>
    </r>
    <r>
      <rPr>
        <b/>
        <sz val="10"/>
        <rFont val="宋体"/>
        <charset val="134"/>
      </rPr>
      <t>端双标记修饰</t>
    </r>
  </si>
  <si>
    <t>类型</t>
  </si>
  <si>
    <t>备注</t>
  </si>
  <si>
    <t>01</t>
  </si>
  <si>
    <t>ZQ0722F34</t>
  </si>
  <si>
    <t>ggggatcgatcctttagcgg</t>
  </si>
  <si>
    <t>HAP</t>
  </si>
  <si>
    <t>5`6-FAM</t>
  </si>
  <si>
    <t>3`Acrydite</t>
  </si>
  <si>
    <t>NGS接头</t>
  </si>
  <si>
    <t>02</t>
  </si>
  <si>
    <t>ZQ0722T28</t>
  </si>
  <si>
    <t>ggaagagtatgagtaaatcaacatGGgct</t>
  </si>
  <si>
    <t>5`Acrydite</t>
  </si>
  <si>
    <t>3`Alexa Fluor 488</t>
  </si>
  <si>
    <t>qPCR引物/探针</t>
  </si>
  <si>
    <t>03</t>
  </si>
  <si>
    <t>ZQ0721Fr</t>
  </si>
  <si>
    <t>ttcttcaatgggtaataactgatataCAtcacattgag</t>
  </si>
  <si>
    <t>5`Alexa Fluor 532</t>
  </si>
  <si>
    <t>3`Alexa Fluor 594</t>
  </si>
  <si>
    <t>STR/SSR引物</t>
  </si>
  <si>
    <r>
      <rPr>
        <b/>
        <sz val="10"/>
        <rFont val="Arial"/>
        <charset val="134"/>
      </rPr>
      <t>5’</t>
    </r>
    <r>
      <rPr>
        <b/>
        <sz val="10"/>
        <rFont val="思源黑体 CN Bold"/>
        <charset val="134"/>
      </rPr>
      <t>端修饰</t>
    </r>
  </si>
  <si>
    <r>
      <rPr>
        <b/>
        <sz val="10"/>
        <rFont val="Arial"/>
        <charset val="134"/>
      </rPr>
      <t>3’</t>
    </r>
    <r>
      <rPr>
        <b/>
        <sz val="10"/>
        <rFont val="思源黑体 CN Bold"/>
        <charset val="134"/>
      </rPr>
      <t>端修饰</t>
    </r>
  </si>
  <si>
    <r>
      <rPr>
        <b/>
        <sz val="10"/>
        <rFont val="思源黑体 CN Bold"/>
        <charset val="134"/>
      </rPr>
      <t>两端修饰</t>
    </r>
  </si>
  <si>
    <r>
      <rPr>
        <b/>
        <sz val="10"/>
        <rFont val="思源黑体 CN Bold"/>
        <charset val="134"/>
      </rPr>
      <t>中间修饰</t>
    </r>
  </si>
  <si>
    <r>
      <rPr>
        <b/>
        <sz val="10"/>
        <rFont val="思源黑体 CN Bold"/>
        <charset val="134"/>
      </rPr>
      <t>中间修饰代码</t>
    </r>
  </si>
  <si>
    <r>
      <rPr>
        <b/>
        <sz val="10"/>
        <rFont val="思源黑体 CN Bold"/>
        <charset val="134"/>
      </rPr>
      <t>中间修饰碱基</t>
    </r>
  </si>
  <si>
    <t>3`6-FAM</t>
  </si>
  <si>
    <t>5`6-FAM，3`BHQ1</t>
  </si>
  <si>
    <t>1-Me-dA</t>
  </si>
  <si>
    <t>/i1-MedA/</t>
  </si>
  <si>
    <t>A</t>
  </si>
  <si>
    <t>5`6-FAM，3`BHQ2</t>
  </si>
  <si>
    <t>2-Aminopurine</t>
  </si>
  <si>
    <t>/i2-Amp/</t>
  </si>
  <si>
    <t>5`Alexa Fluor 350</t>
  </si>
  <si>
    <t>3`Alexa Fluor 350</t>
  </si>
  <si>
    <t>5`6-FAM，3`Dabcyl</t>
  </si>
  <si>
    <t>5-Aza-2`-deoxycytidine</t>
  </si>
  <si>
    <t>/i5-AzadC/</t>
  </si>
  <si>
    <t>C</t>
  </si>
  <si>
    <t>5`Alexa Fluor 405</t>
  </si>
  <si>
    <t>3`Alexa Fluor 405</t>
  </si>
  <si>
    <r>
      <rPr>
        <sz val="10"/>
        <rFont val="Arial"/>
        <charset val="134"/>
      </rPr>
      <t>5`6-FAM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3`DBQ1</t>
    </r>
  </si>
  <si>
    <t>5-Bromo dU</t>
  </si>
  <si>
    <t>/i5Br-dU/</t>
  </si>
  <si>
    <t>U</t>
  </si>
  <si>
    <t>5`Alexa Fluor 430</t>
  </si>
  <si>
    <t>3`Alexa Fluor 430</t>
  </si>
  <si>
    <t>5`6-FAM，3`Eclipse</t>
  </si>
  <si>
    <t>5F-dU</t>
  </si>
  <si>
    <t>/i5F-dU/</t>
  </si>
  <si>
    <t>5`Alexa Fluor 488</t>
  </si>
  <si>
    <t>5`6-FAM，3`MGB</t>
  </si>
  <si>
    <t>5-Hydroxmethyl dC</t>
  </si>
  <si>
    <t>/55HydMe-dC/</t>
  </si>
  <si>
    <t>3`Alexa Fluor 532</t>
  </si>
  <si>
    <t>5`6-FAM，3`TAMRA-N</t>
  </si>
  <si>
    <t>5-Methyl dC</t>
  </si>
  <si>
    <t>/i5MedC/</t>
  </si>
  <si>
    <t>5`Alexa Fluor 555</t>
  </si>
  <si>
    <t>3`Alexa Fluor 555</t>
  </si>
  <si>
    <t>5`Alexa Fluor 488，3`BHQ1</t>
  </si>
  <si>
    <t>5-Nitroindole</t>
  </si>
  <si>
    <t>/i5NitInd/</t>
  </si>
  <si>
    <t>5`Alexa Fluor 568</t>
  </si>
  <si>
    <t>3`Alexa Fluor 568</t>
  </si>
  <si>
    <t>5`Alexa Fluor 488，3`BHQ2</t>
  </si>
  <si>
    <t>8-OXO-dG</t>
  </si>
  <si>
    <t>/i8oxodG/</t>
  </si>
  <si>
    <t>G</t>
  </si>
  <si>
    <t>5`Alexa Fluor 594</t>
  </si>
  <si>
    <t>5`Alexa Fluor 488，3`Dabcyl</t>
  </si>
  <si>
    <t>Azobenzene</t>
  </si>
  <si>
    <t>/iAbz/</t>
  </si>
  <si>
    <t/>
  </si>
  <si>
    <t>5`Alexa Fluor 647</t>
  </si>
  <si>
    <t>3`Alexa Fluor 647</t>
  </si>
  <si>
    <t>5`Alexa Fluor 488，3`MGB</t>
  </si>
  <si>
    <t>C12 Spacer</t>
  </si>
  <si>
    <t>/iSpC12/</t>
  </si>
  <si>
    <t>5`Alexa Fluor 680</t>
  </si>
  <si>
    <t>3`Alexa Fluor 680</t>
  </si>
  <si>
    <t>5`AMCA，3`BHQ1</t>
  </si>
  <si>
    <t>C3 Spacer</t>
  </si>
  <si>
    <t>/iSpC3/</t>
  </si>
  <si>
    <t>5`AMCA</t>
  </si>
  <si>
    <t>3`AMCA</t>
  </si>
  <si>
    <t>5`AMCA，3`Dabcyl</t>
  </si>
  <si>
    <t>C6 Spacer</t>
  </si>
  <si>
    <t>/iSp6/</t>
  </si>
  <si>
    <t>5`Atto 425</t>
  </si>
  <si>
    <t>3`AquaPhluor 593</t>
  </si>
  <si>
    <t>5`AMCA，3`Eclipse</t>
  </si>
  <si>
    <t>deoxyInosine (dI)</t>
  </si>
  <si>
    <t>/ideoxyI/</t>
  </si>
  <si>
    <t>I</t>
  </si>
  <si>
    <t>5`ATTO 430LS</t>
  </si>
  <si>
    <t>3`AquaPhluor 639</t>
  </si>
  <si>
    <t>5`AMCA，3`MGB</t>
  </si>
  <si>
    <t>deoxyUridine (dU)</t>
  </si>
  <si>
    <t>/ideoxyU/</t>
  </si>
  <si>
    <t>5`ATTO 490LS</t>
  </si>
  <si>
    <t>3`Atto 425</t>
  </si>
  <si>
    <t>5`ATTO 425，3`BHQ1</t>
  </si>
  <si>
    <t>dSpacer</t>
  </si>
  <si>
    <t>/idSp/</t>
  </si>
  <si>
    <t>5`ATTO 550</t>
  </si>
  <si>
    <t>3`ATTO 550</t>
  </si>
  <si>
    <t>5`ATTO 425，3`Dabcyl</t>
  </si>
  <si>
    <t>Gemcitabine(2`dual-F-dC)</t>
  </si>
  <si>
    <t>/iGEM/</t>
  </si>
  <si>
    <t>5`ATTO 565</t>
  </si>
  <si>
    <t>3`ATTO 565</t>
  </si>
  <si>
    <t>5`ATTO 425，3`Eclipse</t>
  </si>
  <si>
    <t>Int 6-FAM-dT</t>
  </si>
  <si>
    <t>/i6FAMdT/</t>
  </si>
  <si>
    <t>T</t>
  </si>
  <si>
    <t>5`ATTO 590</t>
  </si>
  <si>
    <t>3`ATTO 590</t>
  </si>
  <si>
    <t>5`ATTO 425，3`MGB</t>
  </si>
  <si>
    <t>Int Acrydite dT</t>
  </si>
  <si>
    <t>/iAcryditedT/</t>
  </si>
  <si>
    <t>5`ATTO 633</t>
  </si>
  <si>
    <t>3`ATTO 647N</t>
  </si>
  <si>
    <t>5`ATTO 550，3`BHQ2</t>
  </si>
  <si>
    <t>Int Alexa Fluor 350 dT</t>
  </si>
  <si>
    <t>/iAF350dT/</t>
  </si>
  <si>
    <t>5`ATTO 647N</t>
  </si>
  <si>
    <t>3`ATTO Rho101</t>
  </si>
  <si>
    <t>5`ATTO 550，3`Dabcyl</t>
  </si>
  <si>
    <t>Int Alexa Fluor 405 dT</t>
  </si>
  <si>
    <t>/iAF405dT/</t>
  </si>
  <si>
    <t>5`ATTO Rho101</t>
  </si>
  <si>
    <t>3`Azide(N3)</t>
  </si>
  <si>
    <t>5`ATTO 550，3`Eclipse</t>
  </si>
  <si>
    <t>Int Alexa Fluor 430 dT</t>
  </si>
  <si>
    <t>/iAF430dT/</t>
  </si>
  <si>
    <t>5`Azide(N3)</t>
  </si>
  <si>
    <t>3`BBQ650</t>
  </si>
  <si>
    <t>5`ATTO 550，3`MGB</t>
  </si>
  <si>
    <t>Int Alexa Fluor 488-dT</t>
  </si>
  <si>
    <t>/iAF488dT/</t>
  </si>
  <si>
    <t>5`BBQ650</t>
  </si>
  <si>
    <t>3`BHQ1</t>
  </si>
  <si>
    <t>5`ATTO 565，3`BHQ2</t>
  </si>
  <si>
    <t>Int Alexa Fluor 532 dT</t>
  </si>
  <si>
    <t>/iAF532dT/</t>
  </si>
  <si>
    <t>5`BHQ1</t>
  </si>
  <si>
    <t>3`BHQ2</t>
  </si>
  <si>
    <t>5`ATTO 565，3`Dabcyl</t>
  </si>
  <si>
    <t>Int Alexa Fluor 555 dT</t>
  </si>
  <si>
    <t>/iAF555dT/</t>
  </si>
  <si>
    <t>5`BHQ2</t>
  </si>
  <si>
    <t>3`BHQ3</t>
  </si>
  <si>
    <t>5`ATTO 565，3`Eclipse</t>
  </si>
  <si>
    <t>Int Alexa Fluor 568 dT</t>
  </si>
  <si>
    <t>/iAF568dT/</t>
  </si>
  <si>
    <t>5`BHQ3(NE)</t>
  </si>
  <si>
    <t>3`Biotin</t>
  </si>
  <si>
    <t>5`ATTO 565，3`MGB</t>
  </si>
  <si>
    <t>Int Alexa Fluor 594 dT</t>
  </si>
  <si>
    <t>/iAF594dT/</t>
  </si>
  <si>
    <t>5`Biotin</t>
  </si>
  <si>
    <t>3`Biotin-TEG</t>
  </si>
  <si>
    <t>5`ATTO 590，3`BHQ2</t>
  </si>
  <si>
    <t>Int Alexa Fluor 647 dT</t>
  </si>
  <si>
    <t>/iAF647dT/</t>
  </si>
  <si>
    <t>5`Biotin-TEG</t>
  </si>
  <si>
    <t>3`BODIPY FL</t>
  </si>
  <si>
    <t>5`ATTO 590，3`Dabcyl</t>
  </si>
  <si>
    <t>Int Alexa Fluor 680 dT</t>
  </si>
  <si>
    <t>/iAF680dT/</t>
  </si>
  <si>
    <t>5`BODIPY FL</t>
  </si>
  <si>
    <t>3`BODIPY R6G</t>
  </si>
  <si>
    <t>5`ATTO 590，3`Eclipse</t>
  </si>
  <si>
    <t>Int Amino-PEG4-C7</t>
  </si>
  <si>
    <t>/iPEG-NH2/</t>
  </si>
  <si>
    <t>5`BODIPY R6G</t>
  </si>
  <si>
    <t>3`C3 Spacer</t>
  </si>
  <si>
    <t>5`ATTO 590，3`MGB</t>
  </si>
  <si>
    <t>Int Atto 425 dT</t>
  </si>
  <si>
    <t>/iAtto425dT/</t>
  </si>
  <si>
    <t>5`C18</t>
  </si>
  <si>
    <t>3`C6 Spacer</t>
  </si>
  <si>
    <t>5`CY3，3`BHQ2</t>
  </si>
  <si>
    <t>Int ATTO 550 dT</t>
  </si>
  <si>
    <t>/iATTO550dT/</t>
  </si>
  <si>
    <t>5`C3 Spacer</t>
  </si>
  <si>
    <t>3`CHCH</t>
  </si>
  <si>
    <t>5`CY3，3`Dabcyl-N</t>
  </si>
  <si>
    <t>Int ATTO 565 dT</t>
  </si>
  <si>
    <t>/iATTO565dT/</t>
  </si>
  <si>
    <t>5`CHCH(Hexyne)</t>
  </si>
  <si>
    <t>3`Cholesteryl</t>
  </si>
  <si>
    <t>5`CY3，3`MGB</t>
  </si>
  <si>
    <t>Int ATTO 590 dT</t>
  </si>
  <si>
    <t>/iATTO590dT/</t>
  </si>
  <si>
    <t>5`CHO</t>
  </si>
  <si>
    <t>3`Cholesteryl-TEG</t>
  </si>
  <si>
    <t>5`CY3，3`TAMRA-N</t>
  </si>
  <si>
    <t>Int ATTO 647N dT</t>
  </si>
  <si>
    <t>/iATTO647NdT/</t>
  </si>
  <si>
    <t>5`Cholesteryl</t>
  </si>
  <si>
    <t>3`Cy3</t>
  </si>
  <si>
    <t>5`CY5，3`BHQ2</t>
  </si>
  <si>
    <t>Int ATTO Rho101 dT</t>
  </si>
  <si>
    <t>/iATTORho101dT/</t>
  </si>
  <si>
    <t>5`Cholesteryl-TEG</t>
  </si>
  <si>
    <t>3`Cy5</t>
  </si>
  <si>
    <t>5`CY5，3`BHQ3</t>
  </si>
  <si>
    <t>Int Azide-dT</t>
  </si>
  <si>
    <t>/iAzidedT/</t>
  </si>
  <si>
    <t>5`COOH</t>
  </si>
  <si>
    <t>3`Cy5(Hydrophilic)</t>
  </si>
  <si>
    <t>5`CY5，3`Dabcyl</t>
  </si>
  <si>
    <t>Int BBQ650</t>
  </si>
  <si>
    <t>/iBBQ650/</t>
  </si>
  <si>
    <t>5`Cy3</t>
  </si>
  <si>
    <t>3`CY5.5</t>
  </si>
  <si>
    <t>5`CY5，3`Eclipse</t>
  </si>
  <si>
    <t>Int BBQ650 dT</t>
  </si>
  <si>
    <t>/iBBQ650dT/</t>
  </si>
  <si>
    <t>5`Cy5</t>
  </si>
  <si>
    <t>3`Cy7</t>
  </si>
  <si>
    <t>5`CY5，3`MGB</t>
  </si>
  <si>
    <t>Int BHQ1 dT</t>
  </si>
  <si>
    <t>/iBHQ1dT/</t>
  </si>
  <si>
    <t>5`Cy5(Hydrophilic)</t>
  </si>
  <si>
    <t>3`Dabcyl</t>
  </si>
  <si>
    <t>5`CY5.5，3`BHQ2</t>
  </si>
  <si>
    <t>Int BHQ2 dT</t>
  </si>
  <si>
    <t>/iBHQ2dT/</t>
  </si>
  <si>
    <t>5`CY5.5</t>
  </si>
  <si>
    <t>3`DBCO</t>
  </si>
  <si>
    <t>5`CY5.5，3`BHQ3</t>
  </si>
  <si>
    <t>Int BHQ3(NE) dT</t>
  </si>
  <si>
    <t>/iBHQ3-NEdT/</t>
  </si>
  <si>
    <t>5`Cy7</t>
  </si>
  <si>
    <t>3`ddC</t>
  </si>
  <si>
    <t>5`HEX，3`BHQ1</t>
  </si>
  <si>
    <t>Int Biotin dT</t>
  </si>
  <si>
    <t>/iBiodT/</t>
  </si>
  <si>
    <t>5`Dabcyl</t>
  </si>
  <si>
    <t>3`Desthio Biotin-TEG</t>
  </si>
  <si>
    <t>5`HEX，3`BHQ2</t>
  </si>
  <si>
    <t>Int BODIPY FL dT</t>
  </si>
  <si>
    <t>/iBODIPYFLdT/</t>
  </si>
  <si>
    <t>5`DBCO</t>
  </si>
  <si>
    <t>3`-dG-Q</t>
  </si>
  <si>
    <t>5`HEX，3`Dabcyl</t>
  </si>
  <si>
    <t>Int BODIPY R6G dT</t>
  </si>
  <si>
    <t>/iR6GdT/</t>
  </si>
  <si>
    <t>5`DBCO-TEG</t>
  </si>
  <si>
    <t>3`Dig</t>
  </si>
  <si>
    <r>
      <rPr>
        <sz val="10"/>
        <rFont val="Arial"/>
        <charset val="134"/>
      </rPr>
      <t>5`HEX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3`DBQ1</t>
    </r>
  </si>
  <si>
    <t>Int CHCH-dT</t>
  </si>
  <si>
    <t>/iCHCHdT/</t>
  </si>
  <si>
    <t>5`Desthio Biotin</t>
  </si>
  <si>
    <t>3`Dithiol</t>
  </si>
  <si>
    <t>5`HEX，3`Eclipse</t>
  </si>
  <si>
    <t>Int Cy3</t>
  </si>
  <si>
    <t>/iCy3/</t>
  </si>
  <si>
    <t>5`Desthio Biotin-TEG</t>
  </si>
  <si>
    <t>3`-dT-Q</t>
  </si>
  <si>
    <t>5`HEX，3`MGB</t>
  </si>
  <si>
    <t>Int Cy3-dT</t>
  </si>
  <si>
    <t>/iCy3dT/</t>
  </si>
  <si>
    <t>5`Dig</t>
  </si>
  <si>
    <t>3`Eclipse</t>
  </si>
  <si>
    <t>5`HEX，3`TAMRA</t>
  </si>
  <si>
    <t>Int Cy5</t>
  </si>
  <si>
    <t>/iCy5/</t>
  </si>
  <si>
    <t>5`Dithiol</t>
  </si>
  <si>
    <t>3`Ferrocene</t>
  </si>
  <si>
    <t>5`JOE，3`BHQ1</t>
  </si>
  <si>
    <t>Int Cy5(Hydrophilic) dT</t>
  </si>
  <si>
    <t>/iCy5HdT/</t>
  </si>
  <si>
    <t>5`Dual Biotin</t>
  </si>
  <si>
    <t>3`HEX</t>
  </si>
  <si>
    <t>5`JOE，3`BHQ2</t>
  </si>
  <si>
    <t>Int CY5.5 dT</t>
  </si>
  <si>
    <t>/iCY5.5dT/</t>
  </si>
  <si>
    <t>5`Eclipse</t>
  </si>
  <si>
    <t>3`HS-SH C3</t>
  </si>
  <si>
    <t>5`JOE，3`Dabcyl-N</t>
  </si>
  <si>
    <t>Int Cy5-dT</t>
  </si>
  <si>
    <t>/iCy5dT/</t>
  </si>
  <si>
    <t>5`Ferrocene</t>
  </si>
  <si>
    <t>3`HS-SH C6</t>
  </si>
  <si>
    <r>
      <rPr>
        <sz val="10"/>
        <rFont val="Arial"/>
        <charset val="134"/>
      </rPr>
      <t>5`JOE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3`DBQ1</t>
    </r>
  </si>
  <si>
    <t>Int CY7 dT</t>
  </si>
  <si>
    <t>/iCY7dT/</t>
  </si>
  <si>
    <t>5`HEX</t>
  </si>
  <si>
    <t>3`Inverted dT</t>
  </si>
  <si>
    <t>5`JOE，3`Eclipse</t>
  </si>
  <si>
    <t>Int Dabcyl-dT</t>
  </si>
  <si>
    <t>/iDabcyldT/</t>
  </si>
  <si>
    <t>5`HS-SH C6</t>
  </si>
  <si>
    <t>3`IR 650</t>
  </si>
  <si>
    <t>5`JOE，3`MGB</t>
  </si>
  <si>
    <t>Int DBCO dT</t>
  </si>
  <si>
    <t>/iDBCOdT/</t>
  </si>
  <si>
    <t>5`IR 650</t>
  </si>
  <si>
    <t>3`IR 750</t>
  </si>
  <si>
    <t>5`JOE，3`TAMRA-N</t>
  </si>
  <si>
    <t>Int Desthio Biotin dT</t>
  </si>
  <si>
    <t>/iDesBiodT/</t>
  </si>
  <si>
    <t>5`IR 750</t>
  </si>
  <si>
    <t>3`JOE</t>
  </si>
  <si>
    <t>5`NED，3`BHQ2</t>
  </si>
  <si>
    <t>Int Dig dT</t>
  </si>
  <si>
    <t>/iDigdT/</t>
  </si>
  <si>
    <t>5`JOE</t>
  </si>
  <si>
    <t>3`Maleimide</t>
  </si>
  <si>
    <t>5`NED，3`Dabcyl</t>
  </si>
  <si>
    <t>Int Dihydroxyl C10 Linker</t>
  </si>
  <si>
    <t>/iDihydroxyl/</t>
  </si>
  <si>
    <t>5`Maleimide</t>
  </si>
  <si>
    <t>3`MB 633</t>
  </si>
  <si>
    <r>
      <rPr>
        <sz val="10"/>
        <rFont val="Arial"/>
        <charset val="134"/>
      </rPr>
      <t>5`NED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3`DBQ2</t>
    </r>
  </si>
  <si>
    <t>Int Dithiol</t>
  </si>
  <si>
    <t>/iDTPA/</t>
  </si>
  <si>
    <t>5`MB 633</t>
  </si>
  <si>
    <t>3`Methylene Blue</t>
  </si>
  <si>
    <t>5`NED，3`Eclipse</t>
  </si>
  <si>
    <t>Int Dithiol dT</t>
  </si>
  <si>
    <t>/iDithioldT/</t>
  </si>
  <si>
    <t>5`Methylene Blue</t>
  </si>
  <si>
    <t>3`MGB</t>
  </si>
  <si>
    <t>5`NED，3`MGB</t>
  </si>
  <si>
    <t>Int Eclipse</t>
  </si>
  <si>
    <t>/iEclipse/</t>
  </si>
  <si>
    <t>5`NED</t>
  </si>
  <si>
    <t>3`NH2 C6</t>
  </si>
  <si>
    <t>5`Quasar 670，3`BHQ2</t>
  </si>
  <si>
    <t>Int Ferrocene dT</t>
  </si>
  <si>
    <t>/iFcdT/</t>
  </si>
  <si>
    <t>5`NH2 C12</t>
  </si>
  <si>
    <t>3`NH2 C6 dT</t>
  </si>
  <si>
    <t>5`Quasar 670，3`MGB</t>
  </si>
  <si>
    <t>Int HEX-dT</t>
  </si>
  <si>
    <t>/iHEXdT/</t>
  </si>
  <si>
    <t>5`NH2 C6</t>
  </si>
  <si>
    <t>3`NH2 C7</t>
  </si>
  <si>
    <t>5`ROX，3`BHQ2</t>
  </si>
  <si>
    <t>Int HS-SH C6</t>
  </si>
  <si>
    <t>/iHS-SH/</t>
  </si>
  <si>
    <t>5`Oregon Green 488</t>
  </si>
  <si>
    <t>3`Oregon Green 488</t>
  </si>
  <si>
    <t>5`ROX，3`Dabcyl</t>
  </si>
  <si>
    <t>Int IR 650 dT</t>
  </si>
  <si>
    <t>/iIR650dT/</t>
  </si>
  <si>
    <t>5`P</t>
  </si>
  <si>
    <t>3`P</t>
  </si>
  <si>
    <r>
      <rPr>
        <sz val="10"/>
        <rFont val="Arial"/>
        <charset val="134"/>
      </rPr>
      <t>5`ROX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3`DBQ2</t>
    </r>
  </si>
  <si>
    <t>Int IR 750 dT</t>
  </si>
  <si>
    <t>/iIR750dT/</t>
  </si>
  <si>
    <t>5`Pacific Blue</t>
  </si>
  <si>
    <t>3`Pacific Blue</t>
  </si>
  <si>
    <t>5`ROX，3`Eclipse</t>
  </si>
  <si>
    <t>Int JOE-dT</t>
  </si>
  <si>
    <t>/iJOEdT/</t>
  </si>
  <si>
    <t>5`Pyrene</t>
  </si>
  <si>
    <t>3`Puromycin</t>
  </si>
  <si>
    <t>5`ROX，3`MGB</t>
  </si>
  <si>
    <t>Int MB 633-dT</t>
  </si>
  <si>
    <t>/iMB633dT/</t>
  </si>
  <si>
    <t>5`Quasar 570</t>
  </si>
  <si>
    <t>3`Pyrene</t>
  </si>
  <si>
    <t>5`SF565，3`BHQ2</t>
  </si>
  <si>
    <t>Int Methylene Blue dT</t>
  </si>
  <si>
    <t>/iMeBluedT/</t>
  </si>
  <si>
    <t>5`Quasar 670</t>
  </si>
  <si>
    <t>3`Quasar 570</t>
  </si>
  <si>
    <r>
      <rPr>
        <sz val="10"/>
        <rFont val="Arial"/>
        <charset val="134"/>
      </rPr>
      <t>5`SF565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3`DBQ2</t>
    </r>
  </si>
  <si>
    <t>Int NH2 C6 dT</t>
  </si>
  <si>
    <t>/iNH2C6dT/</t>
  </si>
  <si>
    <t>5`ROX</t>
  </si>
  <si>
    <t>3`Quasar 670</t>
  </si>
  <si>
    <t>5`SF565，3`MGB</t>
  </si>
  <si>
    <t>Int NPOM Caged-dT</t>
  </si>
  <si>
    <t>/iN-POM-dT/</t>
  </si>
  <si>
    <t>5`Ru</t>
  </si>
  <si>
    <t>3`ROX</t>
  </si>
  <si>
    <t>5`SF670，3`BBQ650</t>
  </si>
  <si>
    <t>Int Oregon Green 488 dT</t>
  </si>
  <si>
    <t>/iOG488dT/</t>
  </si>
  <si>
    <t>5`SF565</t>
  </si>
  <si>
    <t>3`Ru</t>
  </si>
  <si>
    <t>5`SF670，3`BHQ2</t>
  </si>
  <si>
    <t>Int Pacific Blue dT</t>
  </si>
  <si>
    <t>/iPacificBluedT/</t>
  </si>
  <si>
    <t>5`SF670</t>
  </si>
  <si>
    <t>3`SF565</t>
  </si>
  <si>
    <t>5`SF670，3`BHQ3</t>
  </si>
  <si>
    <t>Int Quasar 570 dT</t>
  </si>
  <si>
    <t>/iQuasar570dT/</t>
  </si>
  <si>
    <t>5`SF695</t>
  </si>
  <si>
    <t>3`SF670</t>
  </si>
  <si>
    <r>
      <rPr>
        <sz val="10"/>
        <rFont val="Arial"/>
        <charset val="134"/>
      </rPr>
      <t>5`SF670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3`DBQ3</t>
    </r>
  </si>
  <si>
    <t>Int ROX-dT</t>
  </si>
  <si>
    <t>/iROXdT/</t>
  </si>
  <si>
    <t>5`SH C6</t>
  </si>
  <si>
    <t>3`SF695</t>
  </si>
  <si>
    <t>5`SF670，3`MGB</t>
  </si>
  <si>
    <t>Int Ru dT</t>
  </si>
  <si>
    <t>/iRudT/</t>
  </si>
  <si>
    <t>5`Spacer 18</t>
  </si>
  <si>
    <t>3`SH C3</t>
  </si>
  <si>
    <t>5`SF695，3`BBQ650</t>
  </si>
  <si>
    <t>Int SF565 dT</t>
  </si>
  <si>
    <t>/iSF565dT/</t>
  </si>
  <si>
    <t>5`SPDP</t>
  </si>
  <si>
    <t>3`SH C6</t>
  </si>
  <si>
    <t>5`SF695，3`BHQ2</t>
  </si>
  <si>
    <t>Int SF670 dT</t>
  </si>
  <si>
    <t>/iSF670dT/</t>
  </si>
  <si>
    <t>5`SX610</t>
  </si>
  <si>
    <t>3`SPDP</t>
  </si>
  <si>
    <t>5`SF695，3`BHQ3</t>
  </si>
  <si>
    <t>Int SF695 dT</t>
  </si>
  <si>
    <t>/iSF695dT/</t>
  </si>
  <si>
    <t>5`SX670</t>
  </si>
  <si>
    <t>3`SX610</t>
  </si>
  <si>
    <r>
      <rPr>
        <sz val="10"/>
        <rFont val="Arial"/>
        <charset val="134"/>
      </rPr>
      <t>5`SF695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3`DBQ3</t>
    </r>
  </si>
  <si>
    <t>Int SX610 dT</t>
  </si>
  <si>
    <t>/iSX610dT/</t>
  </si>
  <si>
    <t>5`Symmetric</t>
  </si>
  <si>
    <t>3`SX670</t>
  </si>
  <si>
    <t>5`SF695，3`MGB</t>
  </si>
  <si>
    <t>Int SX670 dT</t>
  </si>
  <si>
    <t>/iSX670dT/</t>
  </si>
  <si>
    <t>5`TAMRA</t>
  </si>
  <si>
    <t>3`TAMRA-N</t>
  </si>
  <si>
    <t>5`SX670，3`BHQ3</t>
  </si>
  <si>
    <t>Int Symmetric</t>
  </si>
  <si>
    <t>/iSymmetric/</t>
  </si>
  <si>
    <t>5`TET</t>
  </si>
  <si>
    <t>3`TET</t>
  </si>
  <si>
    <r>
      <rPr>
        <sz val="10"/>
        <rFont val="Arial"/>
        <charset val="134"/>
      </rPr>
      <t>5`SX670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3`DBQ3</t>
    </r>
  </si>
  <si>
    <t>Int TAMRA-dT</t>
  </si>
  <si>
    <t>/iTAMdT/</t>
  </si>
  <si>
    <t>5`Texas Red</t>
  </si>
  <si>
    <t>3`Texas Red</t>
  </si>
  <si>
    <t>5`SX670，3`MGB</t>
  </si>
  <si>
    <t>Int TET-dT</t>
  </si>
  <si>
    <t>/iTETdT/</t>
  </si>
  <si>
    <t>5`Trebler</t>
  </si>
  <si>
    <t>3`TriGalNAc</t>
  </si>
  <si>
    <t>5`TAMRA，3`BHQ2</t>
  </si>
  <si>
    <t>Int Texas Red-dT</t>
  </si>
  <si>
    <t>/iTexRddT/</t>
  </si>
  <si>
    <t>5`triple Biotin</t>
  </si>
  <si>
    <t>3`Val-Cit</t>
  </si>
  <si>
    <t>5`TAMRA，3`Dabcyl</t>
  </si>
  <si>
    <t>Int Uni-Link Amino</t>
  </si>
  <si>
    <t>/iUniAmM/</t>
  </si>
  <si>
    <t>5`Triple HS-SH</t>
  </si>
  <si>
    <t>3`VIC</t>
  </si>
  <si>
    <r>
      <rPr>
        <sz val="10"/>
        <rFont val="Arial"/>
        <charset val="134"/>
      </rPr>
      <t>5`TAMRA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3`DBQ2</t>
    </r>
  </si>
  <si>
    <t>Int VIC-dT</t>
  </si>
  <si>
    <t>/iVICdT/</t>
  </si>
  <si>
    <t>5`triple SH</t>
  </si>
  <si>
    <t>3`Yakima Yellow</t>
  </si>
  <si>
    <t>5`TAMRA，3`Eclipse</t>
  </si>
  <si>
    <t>N6-Me-dA</t>
  </si>
  <si>
    <t>/6-MedA/</t>
  </si>
  <si>
    <t>5`Val-Cit</t>
  </si>
  <si>
    <t>5`TAMRA，3`MGB</t>
  </si>
  <si>
    <t>PC-Linker</t>
  </si>
  <si>
    <t>/iPCLink/</t>
  </si>
  <si>
    <t>5`VIC</t>
  </si>
  <si>
    <t>5`TET，3`BHQ1</t>
  </si>
  <si>
    <t>Phosphorothioate</t>
  </si>
  <si>
    <t>*</t>
  </si>
  <si>
    <t>5`TET，3`BHQ2</t>
  </si>
  <si>
    <t>Pyrrolo-dC</t>
  </si>
  <si>
    <t>/iPyrrolodC/</t>
  </si>
  <si>
    <t>5`TET，3`Dabcyl</t>
  </si>
  <si>
    <t>Spacer 18</t>
  </si>
  <si>
    <t>/iSp18/</t>
  </si>
  <si>
    <r>
      <rPr>
        <sz val="10"/>
        <rFont val="Arial"/>
        <charset val="134"/>
      </rPr>
      <t>5`TET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3`DBQ1</t>
    </r>
  </si>
  <si>
    <t>Spacer 9</t>
  </si>
  <si>
    <t>/iSp9/</t>
  </si>
  <si>
    <t>5`TET，3`Eclipse</t>
  </si>
  <si>
    <t>Trebler</t>
  </si>
  <si>
    <t>/iTrebler/</t>
  </si>
  <si>
    <t>5`TET，3`MGB</t>
  </si>
  <si>
    <t>Inverted dA(A)</t>
  </si>
  <si>
    <t>/iInvdA/</t>
  </si>
  <si>
    <t>5`TET，3`TAMRA</t>
  </si>
  <si>
    <t>Inverted dA(C)</t>
  </si>
  <si>
    <t>/iInvdC/</t>
  </si>
  <si>
    <t>5`Texas Red，3`BHQ2</t>
  </si>
  <si>
    <t>Inverted dA(G)</t>
  </si>
  <si>
    <t>/iInvdG/</t>
  </si>
  <si>
    <t>5`Texas Red，3`Dabcyl</t>
  </si>
  <si>
    <t>Inverted dA(T)</t>
  </si>
  <si>
    <t>/iInvdT/</t>
  </si>
  <si>
    <r>
      <rPr>
        <sz val="10"/>
        <rFont val="Arial"/>
        <charset val="134"/>
      </rPr>
      <t>5`Texas Red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3`DBQ2</t>
    </r>
  </si>
  <si>
    <t>beta-L-DNA</t>
  </si>
  <si>
    <t>/iLeftdA/</t>
  </si>
  <si>
    <t>5`Texas Red，3`Eclipse</t>
  </si>
  <si>
    <t>/iLeftdC/</t>
  </si>
  <si>
    <t>5`Texas Red，3`MGB</t>
  </si>
  <si>
    <t>/iLeftdG/</t>
  </si>
  <si>
    <t>5`VIC，3`BHQ1</t>
  </si>
  <si>
    <t>/iLeftdT/</t>
  </si>
  <si>
    <t>5`VIC，3`BHQ2</t>
  </si>
  <si>
    <t>RNA</t>
  </si>
  <si>
    <t>/rA/</t>
  </si>
  <si>
    <t>5`VIC，3`Dabcyl</t>
  </si>
  <si>
    <t>/rC/</t>
  </si>
  <si>
    <r>
      <rPr>
        <sz val="10"/>
        <rFont val="Arial"/>
        <charset val="134"/>
      </rPr>
      <t>5`VIC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3`DBQ1</t>
    </r>
  </si>
  <si>
    <t>/rG/</t>
  </si>
  <si>
    <t>5`VIC，3`Eclipse</t>
  </si>
  <si>
    <t>/rU/</t>
  </si>
  <si>
    <t>5`VIC，3`MGB</t>
  </si>
  <si>
    <t>XNA</t>
  </si>
  <si>
    <t>/iXNA_A/</t>
  </si>
  <si>
    <t>5`VIC，3`TAMRA-N</t>
  </si>
  <si>
    <t>/iXNA_C/</t>
  </si>
  <si>
    <t>/iXNA_G/</t>
  </si>
  <si>
    <t>/iXNA_T/</t>
  </si>
  <si>
    <t>2F-RNA</t>
  </si>
  <si>
    <t>/i2FA/</t>
  </si>
  <si>
    <t>/i2FC/</t>
  </si>
  <si>
    <t>/i2FG/</t>
  </si>
  <si>
    <t>/i2FU/</t>
  </si>
  <si>
    <t>2`-O-Methyl</t>
  </si>
  <si>
    <t>/i2OMeA/</t>
  </si>
  <si>
    <t>/i2OMeC/</t>
  </si>
  <si>
    <t>/i2OMeG/</t>
  </si>
  <si>
    <t>/i2OMeU/</t>
  </si>
  <si>
    <t>2-methoxyethyl</t>
  </si>
  <si>
    <t>/i2MOErA/</t>
  </si>
  <si>
    <t>/i2MOErC/</t>
  </si>
  <si>
    <t>/i2MOErG/</t>
  </si>
  <si>
    <t>/i2MOErT/</t>
  </si>
  <si>
    <r>
      <rPr>
        <b/>
        <sz val="12"/>
        <color indexed="9"/>
        <rFont val="宋体"/>
        <charset val="134"/>
      </rPr>
      <t>纯化方式选择</t>
    </r>
  </si>
  <si>
    <r>
      <rPr>
        <b/>
        <sz val="12"/>
        <color indexed="9"/>
        <rFont val="宋体"/>
        <charset val="134"/>
      </rPr>
      <t>引物修饰列表</t>
    </r>
  </si>
  <si>
    <r>
      <rPr>
        <b/>
        <sz val="12"/>
        <color indexed="9"/>
        <rFont val="宋体"/>
        <charset val="134"/>
      </rPr>
      <t>简并碱基</t>
    </r>
  </si>
  <si>
    <r>
      <rPr>
        <b/>
        <sz val="10"/>
        <color indexed="8"/>
        <rFont val="宋体"/>
        <charset val="134"/>
      </rPr>
      <t>维度</t>
    </r>
  </si>
  <si>
    <r>
      <rPr>
        <b/>
        <sz val="10"/>
        <color indexed="8"/>
        <rFont val="宋体"/>
        <charset val="134"/>
      </rPr>
      <t>纯化方式</t>
    </r>
  </si>
  <si>
    <r>
      <rPr>
        <b/>
        <sz val="10"/>
        <color rgb="FF000000"/>
        <rFont val="Arial"/>
        <charset val="134"/>
      </rPr>
      <t>5'</t>
    </r>
    <r>
      <rPr>
        <b/>
        <sz val="10"/>
        <color rgb="FF000000"/>
        <rFont val="宋体"/>
        <charset val="134"/>
      </rPr>
      <t>修饰</t>
    </r>
  </si>
  <si>
    <r>
      <rPr>
        <b/>
        <sz val="10"/>
        <color rgb="FF000000"/>
        <rFont val="Arial"/>
        <charset val="134"/>
      </rPr>
      <t>3’</t>
    </r>
    <r>
      <rPr>
        <b/>
        <sz val="10"/>
        <color rgb="FF000000"/>
        <rFont val="宋体"/>
        <charset val="134"/>
      </rPr>
      <t>修饰</t>
    </r>
  </si>
  <si>
    <r>
      <rPr>
        <b/>
        <sz val="10"/>
        <color rgb="FF000000"/>
        <rFont val="Arial"/>
        <charset val="134"/>
      </rPr>
      <t>5'</t>
    </r>
    <r>
      <rPr>
        <b/>
        <sz val="10"/>
        <color rgb="FF000000"/>
        <rFont val="宋体"/>
        <charset val="134"/>
      </rPr>
      <t>端和</t>
    </r>
    <r>
      <rPr>
        <b/>
        <sz val="10"/>
        <color rgb="FF000000"/>
        <rFont val="Arial"/>
        <charset val="134"/>
      </rPr>
      <t>3’</t>
    </r>
    <r>
      <rPr>
        <b/>
        <sz val="10"/>
        <color rgb="FF000000"/>
        <rFont val="宋体"/>
        <charset val="134"/>
      </rPr>
      <t>端双标记修饰</t>
    </r>
  </si>
  <si>
    <r>
      <rPr>
        <b/>
        <sz val="10"/>
        <color rgb="FF000000"/>
        <rFont val="宋体"/>
        <charset val="134"/>
      </rPr>
      <t>中间修饰</t>
    </r>
  </si>
  <si>
    <r>
      <rPr>
        <b/>
        <sz val="10"/>
        <color rgb="FF000000"/>
        <rFont val="宋体"/>
        <charset val="134"/>
      </rPr>
      <t>中间修饰代码</t>
    </r>
  </si>
  <si>
    <r>
      <rPr>
        <b/>
        <sz val="10"/>
        <color rgb="FF000000"/>
        <rFont val="宋体"/>
        <charset val="134"/>
      </rPr>
      <t>中间修饰碱基</t>
    </r>
  </si>
  <si>
    <r>
      <rPr>
        <b/>
        <sz val="10"/>
        <color rgb="FF000000"/>
        <rFont val="宋体"/>
        <charset val="134"/>
      </rPr>
      <t>简并碱基代码</t>
    </r>
  </si>
  <si>
    <t>中文</t>
  </si>
  <si>
    <t>英文</t>
  </si>
  <si>
    <t>PAGE</t>
  </si>
  <si>
    <t>ULTRAPAGE</t>
  </si>
  <si>
    <t>HPLC</t>
  </si>
  <si>
    <t>HPLC_CE (IVD)</t>
  </si>
  <si>
    <t>IE-HPLC</t>
  </si>
  <si>
    <t>2X HPLC</t>
  </si>
  <si>
    <t>PAGE+HPLC</t>
  </si>
  <si>
    <r>
      <rPr>
        <b/>
        <sz val="10"/>
        <color rgb="FF000000"/>
        <rFont val="宋体"/>
        <charset val="134"/>
      </rPr>
      <t>修饰引物仅适用于</t>
    </r>
    <r>
      <rPr>
        <b/>
        <sz val="10"/>
        <color rgb="FF000000"/>
        <rFont val="Arial"/>
        <charset val="134"/>
      </rPr>
      <t>HPLC</t>
    </r>
    <r>
      <rPr>
        <b/>
        <sz val="10"/>
        <color rgb="FF000000"/>
        <rFont val="宋体"/>
        <charset val="134"/>
      </rPr>
      <t>、</t>
    </r>
    <r>
      <rPr>
        <b/>
        <sz val="10"/>
        <color rgb="FF000000"/>
        <rFont val="Arial"/>
        <charset val="134"/>
      </rPr>
      <t>HPLC_CE</t>
    </r>
    <r>
      <rPr>
        <b/>
        <sz val="10"/>
        <color rgb="FF000000"/>
        <rFont val="宋体"/>
        <charset val="134"/>
      </rPr>
      <t>、</t>
    </r>
    <r>
      <rPr>
        <b/>
        <sz val="10"/>
        <color rgb="FF000000"/>
        <rFont val="Arial"/>
        <charset val="134"/>
      </rPr>
      <t>IE-HPLC</t>
    </r>
    <r>
      <rPr>
        <b/>
        <sz val="10"/>
        <color rgb="FF000000"/>
        <rFont val="宋体"/>
        <charset val="134"/>
      </rPr>
      <t>、</t>
    </r>
    <r>
      <rPr>
        <b/>
        <sz val="10"/>
        <color rgb="FF000000"/>
        <rFont val="Arial"/>
        <charset val="134"/>
      </rPr>
      <t>2X HPLC</t>
    </r>
    <r>
      <rPr>
        <b/>
        <sz val="10"/>
        <color rgb="FF000000"/>
        <rFont val="宋体"/>
        <charset val="134"/>
      </rPr>
      <t>和</t>
    </r>
    <r>
      <rPr>
        <b/>
        <sz val="10"/>
        <color rgb="FF000000"/>
        <rFont val="Arial"/>
        <charset val="134"/>
      </rPr>
      <t>PAGE+HPLC</t>
    </r>
    <r>
      <rPr>
        <b/>
        <sz val="10"/>
        <color rgb="FF000000"/>
        <rFont val="宋体"/>
        <charset val="134"/>
      </rPr>
      <t>纯化</t>
    </r>
  </si>
  <si>
    <r>
      <rPr>
        <b/>
        <sz val="10"/>
        <color rgb="FF000000"/>
        <rFont val="宋体"/>
        <charset val="134"/>
      </rPr>
      <t>不适合</t>
    </r>
    <r>
      <rPr>
        <b/>
        <sz val="10"/>
        <color rgb="FF000000"/>
        <rFont val="Arial"/>
        <charset val="134"/>
      </rPr>
      <t>IE-HPLC</t>
    </r>
    <r>
      <rPr>
        <b/>
        <sz val="10"/>
        <color rgb="FF000000"/>
        <rFont val="宋体"/>
        <charset val="134"/>
      </rPr>
      <t>和</t>
    </r>
    <r>
      <rPr>
        <b/>
        <sz val="10"/>
        <color rgb="FF000000"/>
        <rFont val="Arial"/>
        <charset val="134"/>
      </rPr>
      <t>2X HPLC</t>
    </r>
    <r>
      <rPr>
        <b/>
        <sz val="10"/>
        <color rgb="FF000000"/>
        <rFont val="宋体"/>
        <charset val="134"/>
      </rPr>
      <t>纯化</t>
    </r>
  </si>
  <si>
    <r>
      <rPr>
        <sz val="10"/>
        <rFont val="Arial"/>
        <charset val="134"/>
      </rPr>
      <t>qPCR</t>
    </r>
    <r>
      <rPr>
        <sz val="10"/>
        <rFont val="宋体"/>
        <charset val="134"/>
      </rPr>
      <t>引物/探针</t>
    </r>
  </si>
  <si>
    <t>qPCR Primer/Probe</t>
  </si>
  <si>
    <r>
      <rPr>
        <b/>
        <sz val="10"/>
        <color indexed="8"/>
        <rFont val="宋体"/>
        <charset val="134"/>
      </rPr>
      <t>按片段长度</t>
    </r>
  </si>
  <si>
    <t>B=C/G/T</t>
  </si>
  <si>
    <r>
      <rPr>
        <sz val="10"/>
        <rFont val="Arial"/>
        <charset val="134"/>
      </rPr>
      <t>STR/SSR</t>
    </r>
    <r>
      <rPr>
        <sz val="10"/>
        <rFont val="宋体"/>
        <charset val="134"/>
      </rPr>
      <t>引物</t>
    </r>
  </si>
  <si>
    <t>STR/SSR Primer</t>
  </si>
  <si>
    <r>
      <rPr>
        <sz val="10"/>
        <color indexed="8"/>
        <rFont val="宋体"/>
        <charset val="134"/>
      </rPr>
      <t>短片段（</t>
    </r>
    <r>
      <rPr>
        <sz val="10"/>
        <color indexed="8"/>
        <rFont val="Arial"/>
        <charset val="134"/>
      </rPr>
      <t>~10 mer)</t>
    </r>
  </si>
  <si>
    <r>
      <rPr>
        <sz val="10"/>
        <color indexed="8"/>
        <rFont val="宋体"/>
        <charset val="134"/>
      </rPr>
      <t>√</t>
    </r>
  </si>
  <si>
    <t>D=A/G/T</t>
  </si>
  <si>
    <r>
      <rPr>
        <sz val="10"/>
        <rFont val="Arial"/>
        <charset val="134"/>
      </rPr>
      <t>NGS</t>
    </r>
    <r>
      <rPr>
        <sz val="10"/>
        <rFont val="宋体"/>
        <charset val="134"/>
      </rPr>
      <t>接头</t>
    </r>
  </si>
  <si>
    <t>NGS Adaptor</t>
  </si>
  <si>
    <r>
      <rPr>
        <sz val="10"/>
        <color indexed="8"/>
        <rFont val="宋体"/>
        <charset val="134"/>
      </rPr>
      <t>中片段（</t>
    </r>
    <r>
      <rPr>
        <sz val="10"/>
        <color indexed="8"/>
        <rFont val="Arial"/>
        <charset val="134"/>
      </rPr>
      <t>11~59 mer)</t>
    </r>
  </si>
  <si>
    <t>5`Adenylation</t>
  </si>
  <si>
    <t>H=A/C/T</t>
  </si>
  <si>
    <r>
      <rPr>
        <sz val="10"/>
        <rFont val="Arial"/>
        <charset val="134"/>
      </rPr>
      <t>NGS</t>
    </r>
    <r>
      <rPr>
        <sz val="10"/>
        <rFont val="宋体"/>
        <charset val="134"/>
      </rPr>
      <t>捕获探针</t>
    </r>
  </si>
  <si>
    <r>
      <rPr>
        <sz val="10"/>
        <rFont val="Arial"/>
        <charset val="134"/>
      </rPr>
      <t xml:space="preserve">NGS </t>
    </r>
    <r>
      <rPr>
        <sz val="10"/>
        <color theme="1"/>
        <rFont val="Arial"/>
        <charset val="134"/>
      </rPr>
      <t>Hybrid Capture Probes</t>
    </r>
  </si>
  <si>
    <r>
      <rPr>
        <sz val="10"/>
        <color indexed="8"/>
        <rFont val="宋体"/>
        <charset val="134"/>
      </rPr>
      <t>长片段（</t>
    </r>
    <r>
      <rPr>
        <sz val="10"/>
        <color indexed="8"/>
        <rFont val="Arial"/>
        <charset val="134"/>
      </rPr>
      <t>60~130 mer)</t>
    </r>
  </si>
  <si>
    <r>
      <rPr>
        <sz val="10"/>
        <color rgb="FF000000"/>
        <rFont val="Arial"/>
        <charset val="134"/>
      </rPr>
      <t>5`6-FAM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3`DBQ1</t>
    </r>
  </si>
  <si>
    <t>I=Universal Base</t>
  </si>
  <si>
    <r>
      <rPr>
        <sz val="10"/>
        <rFont val="宋体"/>
        <charset val="134"/>
      </rPr>
      <t>基因芯片探针</t>
    </r>
  </si>
  <si>
    <t>Gene Chip Probe</t>
  </si>
  <si>
    <r>
      <rPr>
        <sz val="10"/>
        <color indexed="8"/>
        <rFont val="宋体"/>
        <charset val="134"/>
      </rPr>
      <t>超长片段（</t>
    </r>
    <r>
      <rPr>
        <sz val="10"/>
        <color indexed="8"/>
        <rFont val="Arial"/>
        <charset val="134"/>
      </rPr>
      <t>131 mer~)*</t>
    </r>
  </si>
  <si>
    <t>K=G/T</t>
  </si>
  <si>
    <t>其他</t>
  </si>
  <si>
    <t>Others</t>
  </si>
  <si>
    <r>
      <rPr>
        <b/>
        <sz val="10"/>
        <color indexed="8"/>
        <rFont val="宋体"/>
        <charset val="134"/>
      </rPr>
      <t>按应用</t>
    </r>
  </si>
  <si>
    <t>M=A/C</t>
  </si>
  <si>
    <r>
      <rPr>
        <sz val="10"/>
        <color indexed="8"/>
        <rFont val="宋体"/>
        <charset val="134"/>
      </rPr>
      <t>普通</t>
    </r>
    <r>
      <rPr>
        <sz val="10"/>
        <color indexed="8"/>
        <rFont val="Arial"/>
        <charset val="134"/>
      </rPr>
      <t>PCR/</t>
    </r>
    <r>
      <rPr>
        <sz val="10"/>
        <color indexed="8"/>
        <rFont val="宋体"/>
        <charset val="134"/>
      </rPr>
      <t>多重</t>
    </r>
    <r>
      <rPr>
        <sz val="10"/>
        <color indexed="8"/>
        <rFont val="Arial"/>
        <charset val="134"/>
      </rPr>
      <t>PCR/</t>
    </r>
    <r>
      <rPr>
        <sz val="10"/>
        <color indexed="8"/>
        <rFont val="宋体"/>
        <charset val="134"/>
      </rPr>
      <t>逆转录</t>
    </r>
    <r>
      <rPr>
        <sz val="10"/>
        <color indexed="8"/>
        <rFont val="Arial"/>
        <charset val="134"/>
      </rPr>
      <t>PCR</t>
    </r>
    <r>
      <rPr>
        <sz val="10"/>
        <color indexed="8"/>
        <rFont val="宋体"/>
        <charset val="134"/>
      </rPr>
      <t>（</t>
    </r>
    <r>
      <rPr>
        <sz val="10"/>
        <color indexed="8"/>
        <rFont val="Arial"/>
        <charset val="134"/>
      </rPr>
      <t>RT-PCR</t>
    </r>
    <r>
      <rPr>
        <sz val="10"/>
        <color indexed="8"/>
        <rFont val="宋体"/>
        <charset val="134"/>
      </rPr>
      <t>）</t>
    </r>
  </si>
  <si>
    <r>
      <rPr>
        <sz val="10"/>
        <rFont val="Arial"/>
        <charset val="134"/>
      </rPr>
      <t>5`6-FAM</t>
    </r>
    <r>
      <rPr>
        <sz val="10"/>
        <rFont val="MS Gothic"/>
        <charset val="128"/>
      </rPr>
      <t>，</t>
    </r>
    <r>
      <rPr>
        <sz val="10"/>
        <rFont val="Arial"/>
        <charset val="134"/>
      </rPr>
      <t>3`MGB SQ</t>
    </r>
  </si>
  <si>
    <t>N=A/C/G/T</t>
  </si>
  <si>
    <r>
      <rPr>
        <sz val="10"/>
        <color indexed="8"/>
        <rFont val="宋体"/>
        <charset val="134"/>
      </rPr>
      <t>荧光定量</t>
    </r>
    <r>
      <rPr>
        <sz val="10"/>
        <color indexed="8"/>
        <rFont val="Arial"/>
        <charset val="134"/>
      </rPr>
      <t>PCR</t>
    </r>
    <r>
      <rPr>
        <sz val="10"/>
        <color indexed="8"/>
        <rFont val="宋体"/>
        <charset val="134"/>
      </rPr>
      <t>（</t>
    </r>
    <r>
      <rPr>
        <sz val="10"/>
        <color indexed="8"/>
        <rFont val="Arial"/>
        <charset val="134"/>
      </rPr>
      <t>qPCR</t>
    </r>
    <r>
      <rPr>
        <sz val="10"/>
        <color indexed="8"/>
        <rFont val="宋体"/>
        <charset val="134"/>
      </rPr>
      <t>）</t>
    </r>
    <r>
      <rPr>
        <sz val="10"/>
        <color indexed="8"/>
        <rFont val="Arial"/>
        <charset val="134"/>
      </rPr>
      <t>/</t>
    </r>
    <r>
      <rPr>
        <sz val="10"/>
        <color indexed="8"/>
        <rFont val="宋体"/>
        <charset val="134"/>
      </rPr>
      <t>数字</t>
    </r>
    <r>
      <rPr>
        <sz val="10"/>
        <color indexed="8"/>
        <rFont val="Arial"/>
        <charset val="134"/>
      </rPr>
      <t>PCR</t>
    </r>
    <r>
      <rPr>
        <sz val="10"/>
        <color indexed="8"/>
        <rFont val="宋体"/>
        <charset val="134"/>
      </rPr>
      <t>（</t>
    </r>
    <r>
      <rPr>
        <sz val="10"/>
        <color indexed="8"/>
        <rFont val="Arial"/>
        <charset val="134"/>
      </rPr>
      <t>dPCR</t>
    </r>
    <r>
      <rPr>
        <sz val="10"/>
        <color indexed="8"/>
        <rFont val="宋体"/>
        <charset val="134"/>
      </rPr>
      <t>）</t>
    </r>
  </si>
  <si>
    <t>R=A/G</t>
  </si>
  <si>
    <r>
      <rPr>
        <sz val="10"/>
        <color indexed="8"/>
        <rFont val="宋体"/>
        <charset val="134"/>
      </rPr>
      <t>一代测序（</t>
    </r>
    <r>
      <rPr>
        <sz val="10"/>
        <color indexed="8"/>
        <rFont val="Arial"/>
        <charset val="134"/>
      </rPr>
      <t>Sanger</t>
    </r>
    <r>
      <rPr>
        <sz val="10"/>
        <color indexed="8"/>
        <rFont val="宋体"/>
        <charset val="134"/>
      </rPr>
      <t>）</t>
    </r>
  </si>
  <si>
    <t>S=C/G</t>
  </si>
  <si>
    <r>
      <rPr>
        <sz val="10"/>
        <color indexed="8"/>
        <rFont val="宋体"/>
        <charset val="134"/>
      </rPr>
      <t>高通量测序（</t>
    </r>
    <r>
      <rPr>
        <sz val="10"/>
        <color indexed="8"/>
        <rFont val="Arial"/>
        <charset val="134"/>
      </rPr>
      <t>NGS</t>
    </r>
    <r>
      <rPr>
        <sz val="10"/>
        <color indexed="8"/>
        <rFont val="宋体"/>
        <charset val="134"/>
      </rPr>
      <t>）</t>
    </r>
  </si>
  <si>
    <t>V=A/C/G</t>
  </si>
  <si>
    <r>
      <rPr>
        <sz val="10"/>
        <color indexed="8"/>
        <rFont val="宋体"/>
        <charset val="134"/>
      </rPr>
      <t>全基因合成</t>
    </r>
  </si>
  <si>
    <t>W=A/T</t>
  </si>
  <si>
    <r>
      <rPr>
        <sz val="10"/>
        <color indexed="8"/>
        <rFont val="宋体"/>
        <charset val="134"/>
      </rPr>
      <t>亚克隆</t>
    </r>
    <r>
      <rPr>
        <sz val="10"/>
        <color indexed="8"/>
        <rFont val="Arial"/>
        <charset val="134"/>
      </rPr>
      <t>/</t>
    </r>
    <r>
      <rPr>
        <sz val="10"/>
        <color indexed="8"/>
        <rFont val="宋体"/>
        <charset val="134"/>
      </rPr>
      <t>点突变</t>
    </r>
  </si>
  <si>
    <t>Y=C/T</t>
  </si>
  <si>
    <r>
      <rPr>
        <sz val="10"/>
        <color indexed="8"/>
        <rFont val="宋体"/>
        <charset val="134"/>
      </rPr>
      <t>基因构建</t>
    </r>
    <r>
      <rPr>
        <sz val="10"/>
        <color indexed="8"/>
        <rFont val="Arial"/>
        <charset val="134"/>
      </rPr>
      <t>/RNA</t>
    </r>
    <r>
      <rPr>
        <sz val="10"/>
        <color indexed="8"/>
        <rFont val="宋体"/>
        <charset val="134"/>
      </rPr>
      <t>干扰</t>
    </r>
  </si>
  <si>
    <r>
      <rPr>
        <sz val="10"/>
        <color indexed="8"/>
        <rFont val="Arial"/>
        <charset val="134"/>
      </rPr>
      <t>PCR</t>
    </r>
    <r>
      <rPr>
        <sz val="10"/>
        <color indexed="8"/>
        <rFont val="宋体"/>
        <charset val="134"/>
      </rPr>
      <t>产物用于克隆表达研究或基因重组等</t>
    </r>
  </si>
  <si>
    <r>
      <rPr>
        <sz val="10"/>
        <color indexed="8"/>
        <rFont val="宋体"/>
        <charset val="134"/>
      </rPr>
      <t>反义核酸</t>
    </r>
  </si>
  <si>
    <r>
      <rPr>
        <sz val="10"/>
        <color indexed="8"/>
        <rFont val="宋体"/>
        <charset val="134"/>
      </rPr>
      <t>修饰或标记引物</t>
    </r>
  </si>
  <si>
    <r>
      <rPr>
        <sz val="10"/>
        <color indexed="8"/>
        <rFont val="宋体"/>
        <charset val="134"/>
      </rPr>
      <t>化学及物理应用</t>
    </r>
  </si>
  <si>
    <r>
      <rPr>
        <sz val="10"/>
        <color indexed="8"/>
        <rFont val="宋体"/>
        <charset val="134"/>
      </rPr>
      <t>体外诊断应用</t>
    </r>
  </si>
  <si>
    <r>
      <rPr>
        <sz val="10"/>
        <rFont val="宋体"/>
        <charset val="134"/>
      </rPr>
      <t xml:space="preserve">备注：
</t>
    </r>
    <r>
      <rPr>
        <sz val="10"/>
        <rFont val="Arial"/>
        <charset val="134"/>
      </rPr>
      <t>*</t>
    </r>
    <r>
      <rPr>
        <sz val="10"/>
        <rFont val="宋体"/>
        <charset val="134"/>
      </rPr>
      <t>由于超长片段合成难度较大，我们无法保证其成功率及纯度等，如需合成，请提前与技术支持沟通咨询；</t>
    </r>
  </si>
  <si>
    <t>附加服务项</t>
  </si>
  <si>
    <t>5`AquaPhluor 593</t>
  </si>
  <si>
    <t>额外QC检测服务</t>
  </si>
  <si>
    <t>5`AquaPhluor 639</t>
  </si>
  <si>
    <r>
      <rPr>
        <b/>
        <sz val="10"/>
        <rFont val="宋体"/>
        <charset val="134"/>
      </rPr>
      <t>项目名</t>
    </r>
  </si>
  <si>
    <r>
      <rPr>
        <b/>
        <sz val="10"/>
        <rFont val="宋体"/>
        <charset val="134"/>
      </rPr>
      <t>代码</t>
    </r>
  </si>
  <si>
    <t>单位</t>
  </si>
  <si>
    <t>简要说明</t>
  </si>
  <si>
    <r>
      <rPr>
        <b/>
        <sz val="10"/>
        <rFont val="宋体"/>
        <charset val="134"/>
      </rPr>
      <t>适用范围</t>
    </r>
  </si>
  <si>
    <t>HPLC纯度</t>
  </si>
  <si>
    <t>%</t>
  </si>
  <si>
    <t>引物的纯度是否满足对应标准</t>
  </si>
  <si>
    <r>
      <rPr>
        <sz val="10"/>
        <rFont val="宋体"/>
        <charset val="134"/>
      </rPr>
      <t>全系</t>
    </r>
  </si>
  <si>
    <t>CE纯度</t>
  </si>
  <si>
    <t>CE</t>
  </si>
  <si>
    <t>PAGE纯度</t>
  </si>
  <si>
    <t>荧光激发/发射波长</t>
  </si>
  <si>
    <t>Ex/Em</t>
  </si>
  <si>
    <t>nm</t>
  </si>
  <si>
    <t>荧光修饰引物的激发/发射光谱波长是否正常</t>
  </si>
  <si>
    <r>
      <rPr>
        <sz val="10"/>
        <rFont val="宋体"/>
        <charset val="134"/>
      </rPr>
      <t>荧光修饰引物、</t>
    </r>
    <r>
      <rPr>
        <sz val="10"/>
        <rFont val="Arial"/>
        <charset val="134"/>
      </rPr>
      <t>qPCR</t>
    </r>
    <r>
      <rPr>
        <sz val="10"/>
        <rFont val="宋体"/>
        <charset val="134"/>
      </rPr>
      <t>探针</t>
    </r>
  </si>
  <si>
    <t>荧光值酶切增量</t>
  </si>
  <si>
    <t>FLU</t>
  </si>
  <si>
    <t>P/F</t>
  </si>
  <si>
    <t>TaqMan探针、分子信标等常规双标记引物的荧光、淬灭基团功能是否正常</t>
  </si>
  <si>
    <r>
      <rPr>
        <sz val="10"/>
        <rFont val="宋体"/>
        <charset val="134"/>
      </rPr>
      <t>双标记</t>
    </r>
    <r>
      <rPr>
        <sz val="10"/>
        <rFont val="Arial"/>
        <charset val="134"/>
      </rPr>
      <t>qPCR</t>
    </r>
    <r>
      <rPr>
        <sz val="10"/>
        <rFont val="宋体"/>
        <charset val="134"/>
      </rPr>
      <t>探针、分子信标</t>
    </r>
  </si>
  <si>
    <t>人源污染检测</t>
  </si>
  <si>
    <t>HSC</t>
  </si>
  <si>
    <t>引物是否污染人源基因组DNA</t>
  </si>
  <si>
    <t>3`CDPI3 MGB</t>
  </si>
  <si>
    <t>无模板对照检测</t>
  </si>
  <si>
    <t>NTC</t>
  </si>
  <si>
    <t>qPCR引物探针在无模板体系中是否会体现出不正常的扩增信号</t>
  </si>
  <si>
    <t>交叉污染率</t>
  </si>
  <si>
    <t>CCR</t>
  </si>
  <si>
    <r>
      <rPr>
        <sz val="10"/>
        <rFont val="宋体"/>
        <charset val="134"/>
      </rPr>
      <t>不同引物之间的交叉污染概率</t>
    </r>
  </si>
  <si>
    <r>
      <rPr>
        <sz val="10"/>
        <rFont val="Arial"/>
        <charset val="134"/>
      </rPr>
      <t>NGS</t>
    </r>
    <r>
      <rPr>
        <sz val="10"/>
        <rFont val="宋体"/>
        <charset val="134"/>
      </rPr>
      <t>引物</t>
    </r>
  </si>
  <si>
    <r>
      <rPr>
        <sz val="10"/>
        <rFont val="Arial"/>
        <charset val="134"/>
      </rPr>
      <t>5`CY5</t>
    </r>
    <r>
      <rPr>
        <sz val="10"/>
        <rFont val="MS Gothic"/>
        <charset val="128"/>
      </rPr>
      <t>，</t>
    </r>
    <r>
      <rPr>
        <sz val="10"/>
        <rFont val="Arial"/>
        <charset val="134"/>
      </rPr>
      <t>3`MGB SQ</t>
    </r>
  </si>
  <si>
    <t>5`CY5，3`DBQ2</t>
  </si>
  <si>
    <r>
      <rPr>
        <sz val="10"/>
        <color rgb="FF000000"/>
        <rFont val="Arial"/>
        <charset val="134"/>
      </rPr>
      <t>5`HEX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3`DBQ1</t>
    </r>
  </si>
  <si>
    <r>
      <rPr>
        <sz val="10"/>
        <rFont val="Arial"/>
        <charset val="134"/>
      </rPr>
      <t>5`HEX</t>
    </r>
    <r>
      <rPr>
        <sz val="10"/>
        <rFont val="MS Gothic"/>
        <charset val="128"/>
      </rPr>
      <t>，</t>
    </r>
    <r>
      <rPr>
        <sz val="10"/>
        <rFont val="Arial"/>
        <charset val="134"/>
      </rPr>
      <t>3`MGB SQ</t>
    </r>
  </si>
  <si>
    <t>Int cnvK</t>
  </si>
  <si>
    <t>/icnvK/</t>
  </si>
  <si>
    <t>3`ICG</t>
  </si>
  <si>
    <t>5`ICG</t>
  </si>
  <si>
    <r>
      <rPr>
        <sz val="10"/>
        <color rgb="FF000000"/>
        <rFont val="Arial"/>
        <charset val="134"/>
      </rPr>
      <t>5`JOE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3`DBQ1</t>
    </r>
  </si>
  <si>
    <t>3`MGB SQ</t>
  </si>
  <si>
    <r>
      <rPr>
        <sz val="10"/>
        <color rgb="FF000000"/>
        <rFont val="Arial"/>
        <charset val="134"/>
      </rPr>
      <t>5`NED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3`DBQ2</t>
    </r>
  </si>
  <si>
    <t>Int Iso-dC</t>
  </si>
  <si>
    <t>/iMe-isodC/</t>
  </si>
  <si>
    <t>Int Iso-dG</t>
  </si>
  <si>
    <t>/iMe-isodG/</t>
  </si>
  <si>
    <t>5`PET</t>
  </si>
  <si>
    <r>
      <rPr>
        <sz val="10"/>
        <color rgb="FF000000"/>
        <rFont val="Arial"/>
        <charset val="134"/>
      </rPr>
      <t>5`ROX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3`DBQ2</t>
    </r>
  </si>
  <si>
    <t>3`Quasar 705</t>
  </si>
  <si>
    <r>
      <rPr>
        <sz val="10"/>
        <rFont val="Arial"/>
        <charset val="134"/>
      </rPr>
      <t>5`ROX</t>
    </r>
    <r>
      <rPr>
        <sz val="10"/>
        <rFont val="MS Gothic"/>
        <charset val="128"/>
      </rPr>
      <t>，</t>
    </r>
    <r>
      <rPr>
        <sz val="10"/>
        <rFont val="Arial"/>
        <charset val="134"/>
      </rPr>
      <t>3`MGB SQ</t>
    </r>
  </si>
  <si>
    <t>5`Quasar 705</t>
  </si>
  <si>
    <t>3`SMCC</t>
  </si>
  <si>
    <r>
      <rPr>
        <sz val="10"/>
        <color rgb="FF000000"/>
        <rFont val="Arial"/>
        <charset val="134"/>
      </rPr>
      <t>5`SF565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3`DBQ2</t>
    </r>
  </si>
  <si>
    <t>Int Quasar 705 dT</t>
  </si>
  <si>
    <t>/iQuasar705dT/</t>
  </si>
  <si>
    <r>
      <rPr>
        <sz val="10"/>
        <color rgb="FF000000"/>
        <rFont val="Arial"/>
        <charset val="134"/>
      </rPr>
      <t>5`SF670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3`DBQ3</t>
    </r>
  </si>
  <si>
    <t>5`SMCC</t>
  </si>
  <si>
    <t>5`SF670，3`MGB SQ</t>
  </si>
  <si>
    <t>5`SF695，3`DBQ3</t>
  </si>
  <si>
    <t>5`SX610，3`BHQ2</t>
  </si>
  <si>
    <t>5`SX610，3`Dabcyl</t>
  </si>
  <si>
    <t>5`SX610，3`DBQ2</t>
  </si>
  <si>
    <t>5`SX610，3`Eclipse</t>
  </si>
  <si>
    <t>5`SX610，3`MGB</t>
  </si>
  <si>
    <r>
      <rPr>
        <sz val="10"/>
        <color rgb="FF000000"/>
        <rFont val="Arial"/>
        <charset val="134"/>
      </rPr>
      <t>5`SX670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3`DBQ3</t>
    </r>
  </si>
  <si>
    <r>
      <rPr>
        <sz val="10"/>
        <color rgb="FF000000"/>
        <rFont val="Arial"/>
        <charset val="134"/>
      </rPr>
      <t>5`TAMRA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3`DBQ2</t>
    </r>
  </si>
  <si>
    <r>
      <rPr>
        <sz val="10"/>
        <color rgb="FF000000"/>
        <rFont val="Arial"/>
        <charset val="134"/>
      </rPr>
      <t>5`TET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3`DBQ1</t>
    </r>
  </si>
  <si>
    <r>
      <rPr>
        <sz val="10"/>
        <color rgb="FF000000"/>
        <rFont val="Arial"/>
        <charset val="134"/>
      </rPr>
      <t>5`Texas Red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3`DBQ2</t>
    </r>
  </si>
  <si>
    <r>
      <rPr>
        <sz val="10"/>
        <color rgb="FF000000"/>
        <rFont val="Arial"/>
        <charset val="134"/>
      </rPr>
      <t>5`VIC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3`DBQ1</t>
    </r>
  </si>
  <si>
    <r>
      <rPr>
        <sz val="10"/>
        <rFont val="Arial"/>
        <charset val="134"/>
      </rPr>
      <t>5`VIC</t>
    </r>
    <r>
      <rPr>
        <sz val="10"/>
        <rFont val="MS Gothic"/>
        <charset val="128"/>
      </rPr>
      <t>，</t>
    </r>
    <r>
      <rPr>
        <sz val="10"/>
        <rFont val="Arial"/>
        <charset val="134"/>
      </rPr>
      <t>3`MGB SQ</t>
    </r>
  </si>
  <si>
    <t>Int Pyrene</t>
  </si>
  <si>
    <t>/iPyrene/</t>
  </si>
  <si>
    <t>ZNA</t>
  </si>
  <si>
    <t>/iZNA/</t>
  </si>
  <si>
    <r>
      <rPr>
        <sz val="12"/>
        <color indexed="10"/>
        <rFont val="Arial"/>
        <charset val="134"/>
      </rPr>
      <t>OD</t>
    </r>
    <r>
      <rPr>
        <sz val="12"/>
        <color indexed="10"/>
        <rFont val="宋体"/>
        <charset val="134"/>
      </rPr>
      <t>量下单填写示例：</t>
    </r>
  </si>
  <si>
    <r>
      <rPr>
        <b/>
        <sz val="10"/>
        <rFont val="Arial"/>
        <charset val="134"/>
      </rPr>
      <t>ID</t>
    </r>
    <r>
      <rPr>
        <b/>
        <sz val="10"/>
        <rFont val="宋体"/>
        <charset val="134"/>
      </rPr>
      <t>（</t>
    </r>
    <r>
      <rPr>
        <b/>
        <sz val="10"/>
        <rFont val="宋体"/>
        <charset val="134"/>
      </rPr>
      <t>此处无需填写）</t>
    </r>
  </si>
  <si>
    <r>
      <rPr>
        <b/>
        <sz val="10"/>
        <rFont val="宋体"/>
        <charset val="134"/>
      </rPr>
      <t>提供总量</t>
    </r>
    <r>
      <rPr>
        <b/>
        <sz val="10"/>
        <rFont val="宋体"/>
        <charset val="134"/>
      </rPr>
      <t>（</t>
    </r>
    <r>
      <rPr>
        <b/>
        <sz val="10"/>
        <rFont val="Arial"/>
        <charset val="134"/>
      </rPr>
      <t>OD</t>
    </r>
    <r>
      <rPr>
        <b/>
        <sz val="10"/>
        <rFont val="宋体"/>
        <charset val="134"/>
      </rPr>
      <t>）</t>
    </r>
  </si>
  <si>
    <t>P1</t>
  </si>
  <si>
    <t>AGCTAGCTAGCTAGCTAGCT</t>
  </si>
  <si>
    <t>P2</t>
  </si>
  <si>
    <t>GCATGCATGCATGCATGCAT</t>
  </si>
  <si>
    <t>P3</t>
  </si>
  <si>
    <t>CAGTCAGTCAGTCAGTCAGT</t>
  </si>
  <si>
    <t>04</t>
  </si>
  <si>
    <t>P4</t>
  </si>
  <si>
    <t>TCAGTCAGTCAGTCAGTCAG</t>
  </si>
  <si>
    <t>05</t>
  </si>
  <si>
    <t>P5</t>
  </si>
  <si>
    <t>ATCGATCGATCGATCGATCG</t>
  </si>
  <si>
    <r>
      <rPr>
        <sz val="12"/>
        <color indexed="10"/>
        <rFont val="Arial"/>
        <charset val="134"/>
      </rPr>
      <t>nmoles</t>
    </r>
    <r>
      <rPr>
        <sz val="12"/>
        <color indexed="10"/>
        <rFont val="宋体"/>
        <charset val="134"/>
      </rPr>
      <t>下单填写示例：</t>
    </r>
  </si>
  <si>
    <r>
      <rPr>
        <sz val="12"/>
        <color indexed="10"/>
        <rFont val="Arial"/>
        <charset val="134"/>
      </rPr>
      <t>5'</t>
    </r>
    <r>
      <rPr>
        <sz val="12"/>
        <color indexed="10"/>
        <rFont val="宋体"/>
        <charset val="134"/>
      </rPr>
      <t>端修饰填写示例：</t>
    </r>
  </si>
  <si>
    <r>
      <rPr>
        <sz val="12"/>
        <color indexed="10"/>
        <rFont val="Arial"/>
        <charset val="134"/>
      </rPr>
      <t>3'</t>
    </r>
    <r>
      <rPr>
        <sz val="12"/>
        <color indexed="10"/>
        <rFont val="宋体"/>
        <charset val="134"/>
      </rPr>
      <t>端修饰填写示例：</t>
    </r>
  </si>
  <si>
    <r>
      <rPr>
        <sz val="12"/>
        <color indexed="10"/>
        <rFont val="Arial"/>
        <charset val="134"/>
      </rPr>
      <t>5'</t>
    </r>
    <r>
      <rPr>
        <sz val="12"/>
        <color indexed="10"/>
        <rFont val="宋体"/>
        <charset val="134"/>
      </rPr>
      <t>端和</t>
    </r>
    <r>
      <rPr>
        <sz val="12"/>
        <color indexed="10"/>
        <rFont val="Arial"/>
        <charset val="134"/>
      </rPr>
      <t>3’</t>
    </r>
    <r>
      <rPr>
        <sz val="12"/>
        <color indexed="10"/>
        <rFont val="宋体"/>
        <charset val="134"/>
      </rPr>
      <t>端双标记修饰填写示例：</t>
    </r>
  </si>
  <si>
    <r>
      <rPr>
        <sz val="12"/>
        <color indexed="10"/>
        <rFont val="宋体"/>
        <charset val="134"/>
      </rPr>
      <t>中间修饰填写示例：</t>
    </r>
  </si>
  <si>
    <r>
      <rPr>
        <sz val="10"/>
        <rFont val="Arial"/>
        <charset val="134"/>
      </rPr>
      <t>AGCTAGCAGC</t>
    </r>
    <r>
      <rPr>
        <sz val="10"/>
        <color indexed="10"/>
        <rFont val="Arial"/>
        <charset val="134"/>
      </rPr>
      <t>/iSp18/</t>
    </r>
    <r>
      <rPr>
        <sz val="10"/>
        <rFont val="Arial"/>
        <charset val="134"/>
      </rPr>
      <t>TAGCTAGCT</t>
    </r>
  </si>
  <si>
    <r>
      <rPr>
        <sz val="10"/>
        <rFont val="Arial"/>
        <charset val="134"/>
      </rPr>
      <t>GCA</t>
    </r>
    <r>
      <rPr>
        <sz val="10"/>
        <color indexed="10"/>
        <rFont val="Arial"/>
        <charset val="134"/>
      </rPr>
      <t>/i6FAMdT/</t>
    </r>
    <r>
      <rPr>
        <sz val="10"/>
        <rFont val="Arial"/>
        <charset val="134"/>
      </rPr>
      <t>GCATGCATGCA</t>
    </r>
    <r>
      <rPr>
        <sz val="10"/>
        <color indexed="10"/>
        <rFont val="Arial"/>
        <charset val="134"/>
      </rPr>
      <t>/iBHQ1dT/</t>
    </r>
    <r>
      <rPr>
        <sz val="10"/>
        <rFont val="Arial"/>
        <charset val="134"/>
      </rPr>
      <t>GCAT</t>
    </r>
  </si>
  <si>
    <r>
      <rPr>
        <sz val="10"/>
        <color indexed="10"/>
        <rFont val="Arial"/>
        <charset val="134"/>
      </rPr>
      <t>/i2OMeA/*</t>
    </r>
    <r>
      <rPr>
        <sz val="10"/>
        <rFont val="Arial"/>
        <charset val="134"/>
      </rPr>
      <t>A</t>
    </r>
    <r>
      <rPr>
        <sz val="10"/>
        <color indexed="10"/>
        <rFont val="Arial"/>
        <charset val="134"/>
      </rPr>
      <t>*</t>
    </r>
    <r>
      <rPr>
        <sz val="10"/>
        <rFont val="Arial"/>
        <charset val="134"/>
      </rPr>
      <t>GTCAGT</t>
    </r>
    <r>
      <rPr>
        <sz val="10"/>
        <color indexed="10"/>
        <rFont val="Arial"/>
        <charset val="134"/>
      </rPr>
      <t>/i5MedC/</t>
    </r>
    <r>
      <rPr>
        <sz val="10"/>
        <rFont val="Arial"/>
        <charset val="134"/>
      </rPr>
      <t>AGT</t>
    </r>
    <r>
      <rPr>
        <sz val="10"/>
        <color indexed="10"/>
        <rFont val="Arial"/>
        <charset val="134"/>
      </rPr>
      <t>/i5MedC/</t>
    </r>
    <r>
      <rPr>
        <sz val="10"/>
        <rFont val="Arial"/>
        <charset val="134"/>
      </rPr>
      <t>AGTCA</t>
    </r>
    <r>
      <rPr>
        <sz val="10"/>
        <color indexed="10"/>
        <rFont val="Arial"/>
        <charset val="134"/>
      </rPr>
      <t>*</t>
    </r>
    <r>
      <rPr>
        <sz val="10"/>
        <rFont val="Arial"/>
        <charset val="134"/>
      </rPr>
      <t>G</t>
    </r>
    <r>
      <rPr>
        <sz val="10"/>
        <color indexed="10"/>
        <rFont val="Arial"/>
        <charset val="134"/>
      </rPr>
      <t>*/i2OMeC/</t>
    </r>
  </si>
  <si>
    <t>*以上为示例，仅供参考。</t>
  </si>
  <si>
    <t>生物安全承诺书</t>
  </si>
  <si>
    <r>
      <rPr>
        <sz val="10"/>
        <color theme="1"/>
        <rFont val="宋体"/>
        <charset val="134"/>
      </rPr>
      <t>本人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单位对提供至生工生物的样品或序列信息（</t>
    </r>
    <r>
      <rPr>
        <sz val="10"/>
        <color theme="1"/>
        <rFont val="Arial"/>
        <charset val="134"/>
      </rPr>
      <t>DNA/RNA/</t>
    </r>
    <r>
      <rPr>
        <sz val="10"/>
        <color theme="1"/>
        <rFont val="宋体"/>
        <charset val="134"/>
      </rPr>
      <t>氨基酸）承诺：
无致病性和传染性；与致病性和传染性病原微生物无相关性；无中国人类遗传资源材料或信息；同意样品在使用完毕后返还；样本的传播与操作，均在法律法规允许范围内。
邮件回复或确认此订购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样本信息表，视为同意并接受订购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样本信息表中的所有内容。</t>
    </r>
  </si>
  <si>
    <t>承诺人：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</si>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</sst>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4">
    <font>
      <sz val="12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Arial"/>
      <charset val="134"/>
    </font>
    <font>
      <sz val="12"/>
      <name val="Arial"/>
      <charset val="134"/>
    </font>
    <font>
      <sz val="12"/>
      <color indexed="1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indexed="10"/>
      <name val="Arial"/>
      <charset val="134"/>
    </font>
    <font>
      <sz val="10"/>
      <name val="宋体"/>
      <charset val="134"/>
    </font>
    <font>
      <b/>
      <sz val="12"/>
      <color indexed="9"/>
      <name val="Arial"/>
      <charset val="134"/>
    </font>
    <font>
      <b/>
      <sz val="10"/>
      <color indexed="8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indexed="8"/>
      <name val="Arial"/>
      <charset val="134"/>
    </font>
    <font>
      <b/>
      <sz val="12"/>
      <color indexed="9"/>
      <name val="宋体"/>
      <charset val="134"/>
    </font>
    <font>
      <sz val="12"/>
      <color rgb="FF000000"/>
      <name val="Arial"/>
      <charset val="134"/>
    </font>
    <font>
      <b/>
      <sz val="10"/>
      <name val="宋体"/>
      <charset val="134"/>
    </font>
    <font>
      <b/>
      <sz val="16"/>
      <name val="Arial"/>
      <charset val="134"/>
    </font>
    <font>
      <b/>
      <sz val="10"/>
      <name val="微软雅黑"/>
      <charset val="134"/>
    </font>
    <font>
      <b/>
      <i/>
      <u/>
      <sz val="10"/>
      <name val="Arial"/>
      <charset val="134"/>
    </font>
    <font>
      <b/>
      <sz val="16"/>
      <color indexed="30"/>
      <name val="Arial"/>
      <charset val="134"/>
    </font>
    <font>
      <u/>
      <sz val="12"/>
      <color rgb="FF800080"/>
      <name val="宋体"/>
      <charset val="134"/>
    </font>
    <font>
      <i/>
      <sz val="10"/>
      <name val="Arial"/>
      <charset val="134"/>
    </font>
    <font>
      <sz val="10"/>
      <color rgb="FF000000"/>
      <name val="宋体"/>
      <charset val="134"/>
    </font>
    <font>
      <b/>
      <i/>
      <sz val="12"/>
      <color rgb="FFFF0000"/>
      <name val="宋体"/>
      <charset val="134"/>
    </font>
    <font>
      <b/>
      <i/>
      <sz val="12"/>
      <color indexed="10"/>
      <name val="Arial"/>
      <charset val="134"/>
    </font>
    <font>
      <b/>
      <sz val="10"/>
      <color rgb="FFFF0000"/>
      <name val="微软雅黑"/>
      <charset val="134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宋体"/>
      <charset val="134"/>
    </font>
    <font>
      <sz val="10"/>
      <color indexed="8"/>
      <name val="宋体"/>
      <charset val="134"/>
    </font>
    <font>
      <sz val="12"/>
      <color indexed="10"/>
      <name val="宋体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10"/>
      <name val="微软雅黑"/>
      <charset val="134"/>
    </font>
    <font>
      <i/>
      <sz val="10"/>
      <color indexed="30"/>
      <name val="Arial"/>
      <charset val="134"/>
    </font>
    <font>
      <i/>
      <sz val="10"/>
      <color indexed="30"/>
      <name val="宋体"/>
      <charset val="134"/>
    </font>
    <font>
      <b/>
      <sz val="10"/>
      <color indexed="10"/>
      <name val="Arial"/>
      <charset val="134"/>
    </font>
    <font>
      <b/>
      <sz val="10"/>
      <color indexed="8"/>
      <name val="宋体"/>
      <charset val="134"/>
    </font>
    <font>
      <b/>
      <sz val="10"/>
      <name val="思源黑体 CN Bold"/>
      <charset val="134"/>
    </font>
    <font>
      <sz val="10"/>
      <name val="MS Gothic"/>
      <charset val="128"/>
    </font>
    <font>
      <b/>
      <sz val="16"/>
      <name val="宋体"/>
      <charset val="134"/>
    </font>
    <font>
      <b/>
      <sz val="10"/>
      <color indexed="62"/>
      <name val="Arial"/>
      <charset val="134"/>
    </font>
    <font>
      <b/>
      <sz val="10"/>
      <color indexed="62"/>
      <name val="宋体"/>
      <charset val="134"/>
    </font>
    <font>
      <b/>
      <i/>
      <u/>
      <sz val="10"/>
      <color indexed="62"/>
      <name val="Arial"/>
      <charset val="134"/>
    </font>
    <font>
      <b/>
      <sz val="12"/>
      <color indexed="10"/>
      <name val="Arial"/>
      <charset val="134"/>
    </font>
    <font>
      <i/>
      <sz val="10"/>
      <name val="宋体"/>
      <charset val="134"/>
    </font>
    <font>
      <sz val="10"/>
      <color theme="1"/>
      <name val="宋体"/>
      <charset val="134"/>
    </font>
    <font>
      <b/>
      <i/>
      <sz val="10"/>
      <name val="宋体"/>
      <charset val="134"/>
    </font>
    <font>
      <b/>
      <sz val="9"/>
      <name val="宋体"/>
      <charset val="134"/>
    </font>
    <font>
      <sz val="9"/>
      <name val="Arial"/>
      <charset val="134"/>
    </font>
    <font>
      <sz val="9"/>
      <name val="Tahoma"/>
      <charset val="134"/>
    </font>
    <font>
      <sz val="9"/>
      <name val="宋体"/>
      <charset val="134"/>
    </font>
    <font>
      <b/>
      <sz val="9"/>
      <name val="Tahoma"/>
      <charset val="134"/>
    </font>
    <font>
      <sz val="9"/>
      <color indexed="12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3" tint="0.399884029663991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center"/>
    </xf>
    <xf numFmtId="0" fontId="2" fillId="22" borderId="19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3" borderId="22" applyNumberFormat="0" applyAlignment="0" applyProtection="0">
      <alignment vertical="center"/>
    </xf>
    <xf numFmtId="0" fontId="38" fillId="24" borderId="23" applyNumberFormat="0" applyAlignment="0" applyProtection="0">
      <alignment vertical="center"/>
    </xf>
    <xf numFmtId="0" fontId="39" fillId="24" borderId="22" applyNumberFormat="0" applyAlignment="0" applyProtection="0">
      <alignment vertical="center"/>
    </xf>
    <xf numFmtId="0" fontId="40" fillId="25" borderId="24" applyNumberFormat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158">
    <xf numFmtId="0" fontId="0" fillId="0" borderId="0" xfId="0">
      <alignment vertical="center"/>
    </xf>
    <xf numFmtId="0" fontId="1" fillId="0" borderId="0" xfId="49" applyFont="1">
      <alignment vertical="center"/>
    </xf>
    <xf numFmtId="0" fontId="2" fillId="0" borderId="0" xfId="49">
      <alignment vertical="center"/>
    </xf>
    <xf numFmtId="0" fontId="3" fillId="0" borderId="0" xfId="49" applyFont="1" applyAlignment="1">
      <alignment horizontal="center" vertical="center"/>
    </xf>
    <xf numFmtId="0" fontId="4" fillId="0" borderId="0" xfId="49" applyFont="1" applyAlignment="1">
      <alignment horizontal="left" vertical="center" wrapText="1"/>
    </xf>
    <xf numFmtId="0" fontId="1" fillId="0" borderId="1" xfId="49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2" borderId="2" xfId="0" applyFont="1" applyFill="1" applyBorder="1" applyAlignment="1" applyProtection="1">
      <alignment horizontal="left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7" fillId="0" borderId="2" xfId="6" applyFont="1" applyFill="1" applyBorder="1" applyAlignment="1" applyProtection="1">
      <alignment horizontal="center" vertical="center" wrapText="1"/>
    </xf>
    <xf numFmtId="0" fontId="7" fillId="3" borderId="3" xfId="0" applyFont="1" applyFill="1" applyBorder="1" applyAlignment="1" applyProtection="1">
      <alignment horizontal="center" vertical="center" wrapText="1"/>
      <protection locked="0"/>
    </xf>
    <xf numFmtId="0" fontId="8" fillId="3" borderId="4" xfId="0" applyFont="1" applyFill="1" applyBorder="1" applyAlignment="1" applyProtection="1">
      <alignment vertical="center" wrapText="1"/>
      <protection locked="0"/>
    </xf>
    <xf numFmtId="0" fontId="8" fillId="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 applyProtection="1">
      <alignment horizontal="center" vertical="center" wrapText="1"/>
      <protection locked="0"/>
    </xf>
    <xf numFmtId="0" fontId="8" fillId="3" borderId="3" xfId="0" applyFont="1" applyFill="1" applyBorder="1" applyProtection="1">
      <alignment vertical="center"/>
      <protection locked="0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Border="1" applyProtection="1">
      <alignment vertical="center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5" borderId="2" xfId="0" applyFont="1" applyFill="1" applyBorder="1" applyProtection="1">
      <alignment vertical="center"/>
      <protection locked="0"/>
    </xf>
    <xf numFmtId="0" fontId="7" fillId="0" borderId="2" xfId="0" applyFont="1" applyBorder="1" applyProtection="1">
      <alignment vertical="center"/>
      <protection locked="0"/>
    </xf>
    <xf numFmtId="0" fontId="8" fillId="5" borderId="4" xfId="0" applyFont="1" applyFill="1" applyBorder="1" applyAlignment="1" applyProtection="1">
      <alignment vertical="center" wrapText="1"/>
      <protection locked="0"/>
    </xf>
    <xf numFmtId="0" fontId="9" fillId="5" borderId="4" xfId="0" applyFont="1" applyFill="1" applyBorder="1" applyAlignment="1" applyProtection="1">
      <alignment vertical="center" wrapText="1"/>
      <protection locked="0"/>
    </xf>
    <xf numFmtId="0" fontId="10" fillId="0" borderId="0" xfId="6" applyFont="1" applyFill="1" applyBorder="1" applyAlignment="1" applyProtection="1">
      <alignment horizontal="left" vertical="center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11" fillId="6" borderId="2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vertical="center" wrapText="1"/>
    </xf>
    <xf numFmtId="0" fontId="12" fillId="7" borderId="7" xfId="0" applyFont="1" applyFill="1" applyBorder="1" applyAlignment="1">
      <alignment vertical="center" wrapText="1"/>
    </xf>
    <xf numFmtId="0" fontId="12" fillId="7" borderId="8" xfId="0" applyFont="1" applyFill="1" applyBorder="1" applyAlignment="1">
      <alignment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12" fillId="7" borderId="11" xfId="0" applyFont="1" applyFill="1" applyBorder="1" applyAlignment="1">
      <alignment vertical="center" wrapText="1"/>
    </xf>
    <xf numFmtId="0" fontId="13" fillId="10" borderId="9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4" borderId="12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4" fillId="0" borderId="9" xfId="0" applyFont="1" applyBorder="1">
      <alignment vertical="center"/>
    </xf>
    <xf numFmtId="0" fontId="14" fillId="11" borderId="9" xfId="0" applyFont="1" applyFill="1" applyBorder="1">
      <alignment vertical="center"/>
    </xf>
    <xf numFmtId="0" fontId="13" fillId="11" borderId="9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5" fillId="0" borderId="2" xfId="0" applyFont="1" applyBorder="1" applyAlignment="1">
      <alignment horizontal="left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8" fillId="0" borderId="9" xfId="0" applyFont="1" applyBorder="1">
      <alignment vertical="center"/>
    </xf>
    <xf numFmtId="0" fontId="14" fillId="0" borderId="0" xfId="0" applyFont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14" fillId="0" borderId="0" xfId="0" applyFont="1">
      <alignment vertical="center"/>
    </xf>
    <xf numFmtId="0" fontId="14" fillId="0" borderId="9" xfId="0" applyFont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7" fillId="7" borderId="12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12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4" fillId="0" borderId="15" xfId="0" applyFont="1" applyBorder="1">
      <alignment vertical="center"/>
    </xf>
    <xf numFmtId="0" fontId="14" fillId="0" borderId="16" xfId="0" applyFont="1" applyBorder="1">
      <alignment vertical="center"/>
    </xf>
    <xf numFmtId="0" fontId="14" fillId="0" borderId="17" xfId="0" applyFont="1" applyBorder="1">
      <alignment vertical="center"/>
    </xf>
    <xf numFmtId="0" fontId="14" fillId="11" borderId="17" xfId="0" applyFont="1" applyFill="1" applyBorder="1">
      <alignment vertical="center"/>
    </xf>
    <xf numFmtId="0" fontId="7" fillId="13" borderId="2" xfId="0" applyFont="1" applyFill="1" applyBorder="1">
      <alignment vertical="center"/>
    </xf>
    <xf numFmtId="0" fontId="8" fillId="0" borderId="2" xfId="0" applyFont="1" applyBorder="1">
      <alignment vertical="center"/>
    </xf>
    <xf numFmtId="0" fontId="8" fillId="4" borderId="0" xfId="0" applyFont="1" applyFill="1" applyAlignment="1">
      <alignment horizontal="left" vertical="center"/>
    </xf>
    <xf numFmtId="0" fontId="8" fillId="4" borderId="0" xfId="6" applyFont="1" applyFill="1" applyBorder="1" applyAlignment="1" applyProtection="1">
      <alignment horizontal="left" vertical="center" wrapText="1"/>
      <protection locked="0"/>
    </xf>
    <xf numFmtId="0" fontId="8" fillId="4" borderId="0" xfId="0" applyFont="1" applyFill="1" applyAlignment="1">
      <alignment vertical="center" wrapText="1"/>
    </xf>
    <xf numFmtId="0" fontId="8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8" fillId="14" borderId="6" xfId="0" applyFont="1" applyFill="1" applyBorder="1" applyAlignment="1" applyProtection="1">
      <alignment horizontal="center"/>
      <protection locked="0"/>
    </xf>
    <xf numFmtId="0" fontId="19" fillId="14" borderId="7" xfId="0" applyFont="1" applyFill="1" applyBorder="1" applyAlignment="1" applyProtection="1">
      <alignment horizontal="center" vertical="center" wrapText="1"/>
      <protection locked="0"/>
    </xf>
    <xf numFmtId="0" fontId="19" fillId="14" borderId="7" xfId="0" applyFont="1" applyFill="1" applyBorder="1" applyAlignment="1" applyProtection="1">
      <alignment vertical="center" wrapText="1"/>
      <protection locked="0"/>
    </xf>
    <xf numFmtId="0" fontId="19" fillId="14" borderId="0" xfId="0" applyFont="1" applyFill="1" applyAlignment="1" applyProtection="1">
      <alignment vertical="center" wrapText="1"/>
      <protection locked="0"/>
    </xf>
    <xf numFmtId="0" fontId="19" fillId="14" borderId="0" xfId="0" applyFont="1" applyFill="1" applyAlignment="1" applyProtection="1">
      <alignment horizontal="center" vertical="center" wrapText="1"/>
      <protection locked="0"/>
    </xf>
    <xf numFmtId="0" fontId="8" fillId="14" borderId="13" xfId="0" applyFont="1" applyFill="1" applyBorder="1" applyAlignment="1" applyProtection="1">
      <alignment horizontal="center"/>
      <protection locked="0"/>
    </xf>
    <xf numFmtId="0" fontId="7" fillId="14" borderId="0" xfId="0" applyFont="1" applyFill="1" applyAlignment="1" applyProtection="1">
      <alignment horizontal="center" vertical="center" wrapText="1"/>
      <protection locked="0"/>
    </xf>
    <xf numFmtId="0" fontId="20" fillId="14" borderId="0" xfId="0" applyFont="1" applyFill="1" applyAlignment="1" applyProtection="1">
      <alignment horizontal="center" vertical="center" wrapText="1"/>
      <protection locked="0"/>
    </xf>
    <xf numFmtId="14" fontId="21" fillId="14" borderId="0" xfId="0" applyNumberFormat="1" applyFont="1" applyFill="1" applyAlignment="1" applyProtection="1">
      <alignment horizontal="center" vertical="center"/>
      <protection hidden="1"/>
    </xf>
    <xf numFmtId="0" fontId="8" fillId="15" borderId="0" xfId="0" applyFont="1" applyFill="1" applyAlignment="1" applyProtection="1">
      <alignment horizontal="center"/>
      <protection locked="0"/>
    </xf>
    <xf numFmtId="0" fontId="5" fillId="15" borderId="0" xfId="0" applyFont="1" applyFill="1" applyProtection="1">
      <alignment vertical="center"/>
      <protection locked="0"/>
    </xf>
    <xf numFmtId="0" fontId="22" fillId="16" borderId="0" xfId="0" applyFont="1" applyFill="1" applyAlignment="1" applyProtection="1">
      <alignment vertical="center" wrapText="1"/>
      <protection locked="0"/>
    </xf>
    <xf numFmtId="0" fontId="7" fillId="17" borderId="3" xfId="0" applyFont="1" applyFill="1" applyBorder="1" applyAlignment="1" applyProtection="1">
      <alignment horizontal="left" vertical="center"/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7" fillId="3" borderId="11" xfId="0" applyFont="1" applyFill="1" applyBorder="1" applyAlignment="1" applyProtection="1">
      <alignment horizontal="center"/>
      <protection locked="0"/>
    </xf>
    <xf numFmtId="0" fontId="8" fillId="18" borderId="13" xfId="6" applyFont="1" applyFill="1" applyBorder="1" applyAlignment="1" applyProtection="1">
      <alignment vertical="center" wrapText="1"/>
      <protection locked="0"/>
    </xf>
    <xf numFmtId="0" fontId="8" fillId="18" borderId="0" xfId="6" applyFont="1" applyFill="1" applyBorder="1" applyAlignment="1" applyProtection="1">
      <alignment vertical="center" wrapText="1"/>
      <protection locked="0"/>
    </xf>
    <xf numFmtId="0" fontId="8" fillId="18" borderId="14" xfId="6" applyFont="1" applyFill="1" applyBorder="1" applyAlignment="1" applyProtection="1">
      <alignment vertical="center" wrapText="1"/>
      <protection locked="0"/>
    </xf>
    <xf numFmtId="0" fontId="7" fillId="17" borderId="2" xfId="0" applyFont="1" applyFill="1" applyBorder="1" applyAlignment="1" applyProtection="1">
      <alignment horizontal="left" vertical="center"/>
      <protection locked="0"/>
    </xf>
    <xf numFmtId="0" fontId="8" fillId="3" borderId="4" xfId="0" applyFont="1" applyFill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 applyProtection="1">
      <alignment horizontal="center" vertical="center"/>
      <protection locked="0"/>
    </xf>
    <xf numFmtId="0" fontId="23" fillId="3" borderId="4" xfId="6" applyFont="1" applyFill="1" applyBorder="1" applyAlignment="1" applyProtection="1">
      <alignment horizontal="center" vertical="center"/>
      <protection locked="0"/>
    </xf>
    <xf numFmtId="0" fontId="24" fillId="18" borderId="10" xfId="6" applyFont="1" applyFill="1" applyBorder="1" applyAlignment="1" applyProtection="1">
      <alignment horizontal="left" vertical="center" wrapText="1"/>
      <protection locked="0"/>
    </xf>
    <xf numFmtId="0" fontId="24" fillId="18" borderId="1" xfId="6" applyFont="1" applyFill="1" applyBorder="1" applyAlignment="1" applyProtection="1">
      <alignment horizontal="left" vertical="center" wrapText="1"/>
      <protection locked="0"/>
    </xf>
    <xf numFmtId="0" fontId="24" fillId="18" borderId="11" xfId="6" applyFont="1" applyFill="1" applyBorder="1" applyAlignment="1" applyProtection="1">
      <alignment horizontal="left" vertical="center" wrapText="1"/>
      <protection locked="0"/>
    </xf>
    <xf numFmtId="0" fontId="18" fillId="3" borderId="4" xfId="0" applyFont="1" applyFill="1" applyBorder="1" applyAlignment="1" applyProtection="1">
      <alignment horizontal="center"/>
      <protection locked="0"/>
    </xf>
    <xf numFmtId="0" fontId="7" fillId="3" borderId="5" xfId="0" applyFont="1" applyFill="1" applyBorder="1" applyAlignment="1" applyProtection="1">
      <alignment horizontal="center"/>
      <protection locked="0"/>
    </xf>
    <xf numFmtId="0" fontId="18" fillId="18" borderId="6" xfId="0" applyFont="1" applyFill="1" applyBorder="1" applyAlignment="1">
      <alignment horizontal="left" vertical="center" wrapText="1"/>
    </xf>
    <xf numFmtId="0" fontId="8" fillId="18" borderId="7" xfId="0" applyFont="1" applyFill="1" applyBorder="1" applyAlignment="1">
      <alignment horizontal="left" vertical="center"/>
    </xf>
    <xf numFmtId="0" fontId="8" fillId="18" borderId="8" xfId="0" applyFont="1" applyFill="1" applyBorder="1" applyAlignment="1">
      <alignment horizontal="left" vertical="center"/>
    </xf>
    <xf numFmtId="0" fontId="10" fillId="0" borderId="18" xfId="0" applyFont="1" applyBorder="1" applyAlignment="1">
      <alignment horizontal="center" vertical="center"/>
    </xf>
    <xf numFmtId="0" fontId="8" fillId="18" borderId="13" xfId="0" applyFont="1" applyFill="1" applyBorder="1" applyAlignment="1">
      <alignment horizontal="left" vertical="center"/>
    </xf>
    <xf numFmtId="0" fontId="8" fillId="18" borderId="0" xfId="0" applyFont="1" applyFill="1" applyAlignment="1">
      <alignment horizontal="left" vertical="center"/>
    </xf>
    <xf numFmtId="0" fontId="8" fillId="18" borderId="14" xfId="0" applyFont="1" applyFill="1" applyBorder="1" applyAlignment="1">
      <alignment horizontal="left" vertical="center"/>
    </xf>
    <xf numFmtId="0" fontId="25" fillId="0" borderId="18" xfId="0" applyFont="1" applyBorder="1" applyAlignment="1">
      <alignment horizontal="center" vertical="center"/>
    </xf>
    <xf numFmtId="0" fontId="26" fillId="0" borderId="4" xfId="0" applyFont="1" applyBorder="1" applyAlignment="1" applyProtection="1">
      <alignment horizontal="center" vertical="center" wrapText="1"/>
      <protection hidden="1"/>
    </xf>
    <xf numFmtId="0" fontId="27" fillId="0" borderId="5" xfId="0" applyFont="1" applyBorder="1" applyAlignment="1" applyProtection="1">
      <alignment horizontal="center" vertical="center" wrapText="1"/>
      <protection hidden="1"/>
    </xf>
    <xf numFmtId="0" fontId="7" fillId="17" borderId="2" xfId="0" applyFont="1" applyFill="1" applyBorder="1" applyProtection="1">
      <alignment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24" fillId="18" borderId="2" xfId="6" applyFont="1" applyFill="1" applyBorder="1" applyAlignment="1" applyProtection="1">
      <alignment horizontal="center" vertical="center" wrapText="1"/>
      <protection locked="0"/>
    </xf>
    <xf numFmtId="0" fontId="27" fillId="19" borderId="4" xfId="0" applyFont="1" applyFill="1" applyBorder="1" applyAlignment="1" applyProtection="1">
      <alignment horizontal="center" vertical="center" wrapText="1"/>
      <protection hidden="1"/>
    </xf>
    <xf numFmtId="0" fontId="27" fillId="19" borderId="12" xfId="0" applyFont="1" applyFill="1" applyBorder="1" applyAlignment="1" applyProtection="1">
      <alignment horizontal="center" vertical="center" wrapText="1"/>
      <protection hidden="1"/>
    </xf>
    <xf numFmtId="0" fontId="18" fillId="17" borderId="2" xfId="0" applyFont="1" applyFill="1" applyBorder="1" applyAlignment="1" applyProtection="1">
      <alignment horizontal="center" vertical="center"/>
      <protection locked="0"/>
    </xf>
    <xf numFmtId="0" fontId="28" fillId="20" borderId="4" xfId="0" applyFont="1" applyFill="1" applyBorder="1" applyAlignment="1" applyProtection="1">
      <alignment horizontal="center" vertical="center"/>
      <protection locked="0"/>
    </xf>
    <xf numFmtId="0" fontId="28" fillId="20" borderId="5" xfId="0" applyFont="1" applyFill="1" applyBorder="1" applyAlignment="1" applyProtection="1">
      <alignment horizontal="center" vertical="center"/>
      <protection locked="0"/>
    </xf>
    <xf numFmtId="0" fontId="18" fillId="18" borderId="2" xfId="0" applyFont="1" applyFill="1" applyBorder="1" applyAlignment="1" applyProtection="1">
      <alignment horizontal="center" vertical="center"/>
      <protection locked="0"/>
    </xf>
    <xf numFmtId="0" fontId="8" fillId="20" borderId="4" xfId="0" applyFont="1" applyFill="1" applyBorder="1" applyAlignment="1" applyProtection="1">
      <alignment horizontal="center" vertical="center"/>
      <protection locked="0"/>
    </xf>
    <xf numFmtId="0" fontId="8" fillId="20" borderId="12" xfId="0" applyFont="1" applyFill="1" applyBorder="1" applyAlignment="1" applyProtection="1">
      <alignment horizontal="center" vertical="center"/>
      <protection locked="0"/>
    </xf>
    <xf numFmtId="0" fontId="8" fillId="20" borderId="5" xfId="0" applyFont="1" applyFill="1" applyBorder="1" applyAlignment="1" applyProtection="1">
      <alignment horizontal="center" vertical="center"/>
      <protection locked="0"/>
    </xf>
    <xf numFmtId="0" fontId="7" fillId="17" borderId="2" xfId="0" applyFont="1" applyFill="1" applyBorder="1" applyAlignment="1" applyProtection="1">
      <alignment horizontal="left" vertical="center" wrapText="1"/>
      <protection locked="0"/>
    </xf>
    <xf numFmtId="0" fontId="7" fillId="17" borderId="2" xfId="0" applyFont="1" applyFill="1" applyBorder="1" applyAlignment="1" applyProtection="1">
      <alignment horizontal="center" vertical="center" wrapText="1"/>
      <protection locked="0"/>
    </xf>
    <xf numFmtId="0" fontId="18" fillId="17" borderId="2" xfId="0" applyFont="1" applyFill="1" applyBorder="1" applyAlignment="1" applyProtection="1">
      <alignment horizontal="center" vertical="center" wrapText="1"/>
      <protection locked="0"/>
    </xf>
    <xf numFmtId="0" fontId="7" fillId="0" borderId="2" xfId="6" applyFont="1" applyFill="1" applyBorder="1" applyAlignment="1" applyProtection="1">
      <alignment horizontal="center" vertical="center" wrapText="1"/>
      <protection locked="0"/>
    </xf>
    <xf numFmtId="0" fontId="8" fillId="19" borderId="3" xfId="0" applyFont="1" applyFill="1" applyBorder="1" applyAlignment="1" applyProtection="1">
      <alignment horizontal="center" vertical="center"/>
      <protection hidden="1"/>
    </xf>
    <xf numFmtId="0" fontId="8" fillId="21" borderId="2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676275</xdr:colOff>
      <xdr:row>0</xdr:row>
      <xdr:rowOff>152400</xdr:rowOff>
    </xdr:from>
    <xdr:to>
      <xdr:col>2</xdr:col>
      <xdr:colOff>857250</xdr:colOff>
      <xdr:row>0</xdr:row>
      <xdr:rowOff>409575</xdr:rowOff>
    </xdr:to>
    <xdr:pic>
      <xdr:nvPicPr>
        <xdr:cNvPr id="1543" name="图片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76275" y="152400"/>
          <a:ext cx="238442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2827883762@qq.com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0"/>
  <sheetViews>
    <sheetView showGridLines="0" showZeros="0" tabSelected="1" zoomScale="85" zoomScaleNormal="85" topLeftCell="A2" workbookViewId="0">
      <selection activeCell="C29" sqref="C29"/>
    </sheetView>
  </sheetViews>
  <sheetFormatPr defaultColWidth="8.75" defaultRowHeight="15.5"/>
  <cols>
    <col min="1" max="1" width="13.3333333333333" style="101" customWidth="1"/>
    <col min="2" max="2" width="15.5833333333333" style="101" customWidth="1"/>
    <col min="3" max="3" width="51.3333333333333" style="101" customWidth="1"/>
    <col min="4" max="4" width="8.5" style="101" customWidth="1"/>
    <col min="5" max="5" width="10.25" style="101" customWidth="1"/>
    <col min="6" max="6" width="16.0833333333333" style="101" customWidth="1"/>
    <col min="7" max="7" width="13.5" style="101" customWidth="1"/>
    <col min="8" max="8" width="11.5833333333333" style="101" customWidth="1"/>
    <col min="9" max="9" width="11" style="101" customWidth="1"/>
    <col min="10" max="10" width="10.5" style="101" customWidth="1"/>
    <col min="11" max="11" width="18" style="101" customWidth="1"/>
    <col min="12" max="12" width="14.5" style="101" customWidth="1"/>
    <col min="13" max="13" width="12.5" style="101" customWidth="1"/>
    <col min="14" max="16384" width="8.75" style="101"/>
  </cols>
  <sheetData>
    <row r="1" ht="40" customHeight="1" spans="1:13">
      <c r="A1" s="102"/>
      <c r="B1" s="103" t="s">
        <v>0</v>
      </c>
      <c r="C1" s="103" t="s">
        <v>1</v>
      </c>
      <c r="D1" s="103"/>
      <c r="E1" s="103"/>
      <c r="F1" s="103"/>
      <c r="G1" s="103"/>
      <c r="H1" s="103"/>
      <c r="I1" s="104"/>
      <c r="J1" s="105"/>
      <c r="K1" s="105"/>
      <c r="L1" s="105"/>
      <c r="M1" s="106"/>
    </row>
    <row r="2" ht="30" customHeight="1" spans="1:13">
      <c r="A2" s="107"/>
      <c r="B2" s="106"/>
      <c r="C2" s="106"/>
      <c r="D2" s="106"/>
      <c r="E2" s="106"/>
      <c r="F2" s="106"/>
      <c r="G2" s="106"/>
      <c r="H2" s="106"/>
      <c r="I2" s="108"/>
      <c r="J2" s="108"/>
      <c r="K2" s="108"/>
      <c r="L2" s="109" t="s">
        <v>2</v>
      </c>
      <c r="M2" s="110">
        <f ca="1">NOW()</f>
        <v>46081.694375</v>
      </c>
    </row>
    <row r="3" ht="3" customHeight="1" spans="1:13">
      <c r="A3" s="111"/>
      <c r="B3" s="112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</row>
    <row r="4" s="97" customFormat="1" ht="17.25" customHeight="1" spans="1:13">
      <c r="A4" s="114" t="s">
        <v>3</v>
      </c>
      <c r="B4" s="115" t="s">
        <v>4</v>
      </c>
      <c r="C4" s="116"/>
      <c r="D4" s="117" t="s">
        <v>5</v>
      </c>
      <c r="E4" s="118"/>
      <c r="F4" s="118"/>
      <c r="G4" s="118"/>
      <c r="H4" s="118" t="s">
        <v>6</v>
      </c>
      <c r="I4" s="118"/>
      <c r="J4" s="118"/>
      <c r="K4" s="118"/>
      <c r="L4" s="118"/>
      <c r="M4" s="119"/>
    </row>
    <row r="5" s="98" customFormat="1" ht="17.25" customHeight="1" spans="1:13">
      <c r="A5" s="120" t="s">
        <v>7</v>
      </c>
      <c r="B5" s="121">
        <v>15186909733</v>
      </c>
      <c r="C5" s="122"/>
      <c r="D5" s="117" t="s">
        <v>8</v>
      </c>
      <c r="E5" s="118"/>
      <c r="F5" s="118"/>
      <c r="G5" s="118"/>
      <c r="H5" s="118" t="s">
        <v>9</v>
      </c>
      <c r="I5" s="118"/>
      <c r="J5" s="118"/>
      <c r="K5" s="118"/>
      <c r="L5" s="118"/>
      <c r="M5" s="119"/>
    </row>
    <row r="6" s="99" customFormat="1" ht="17.25" customHeight="1" spans="1:13">
      <c r="A6" s="120" t="s">
        <v>10</v>
      </c>
      <c r="B6" s="123" t="s">
        <v>11</v>
      </c>
      <c r="C6" s="122"/>
      <c r="D6" s="124" t="s">
        <v>12</v>
      </c>
      <c r="E6" s="125"/>
      <c r="F6" s="125"/>
      <c r="G6" s="125"/>
      <c r="H6" s="125"/>
      <c r="I6" s="125"/>
      <c r="J6" s="125"/>
      <c r="K6" s="125"/>
      <c r="L6" s="125"/>
      <c r="M6" s="126"/>
    </row>
    <row r="7" s="97" customFormat="1" ht="17.25" customHeight="1" spans="1:13">
      <c r="A7" s="120" t="s">
        <v>13</v>
      </c>
      <c r="B7" s="127" t="s">
        <v>14</v>
      </c>
      <c r="C7" s="128"/>
      <c r="D7" s="129" t="s">
        <v>15</v>
      </c>
      <c r="E7" s="130"/>
      <c r="F7" s="130"/>
      <c r="G7" s="130"/>
      <c r="H7" s="130"/>
      <c r="I7" s="130"/>
      <c r="J7" s="130"/>
      <c r="K7" s="130"/>
      <c r="L7" s="130"/>
      <c r="M7" s="131"/>
    </row>
    <row r="8" s="97" customFormat="1" ht="17.25" customHeight="1" spans="1:13">
      <c r="A8" s="120" t="s">
        <v>16</v>
      </c>
      <c r="B8" s="132">
        <v>10000008</v>
      </c>
      <c r="C8" s="132"/>
      <c r="D8" s="133"/>
      <c r="E8" s="134"/>
      <c r="F8" s="134"/>
      <c r="G8" s="134"/>
      <c r="H8" s="134"/>
      <c r="I8" s="134"/>
      <c r="J8" s="134"/>
      <c r="K8" s="134"/>
      <c r="L8" s="134"/>
      <c r="M8" s="135"/>
    </row>
    <row r="9" s="97" customFormat="1" ht="17.25" customHeight="1" spans="1:13">
      <c r="A9" s="120" t="s">
        <v>17</v>
      </c>
      <c r="B9" s="132" t="s">
        <v>18</v>
      </c>
      <c r="C9" s="132"/>
      <c r="D9" s="133"/>
      <c r="E9" s="134"/>
      <c r="F9" s="134"/>
      <c r="G9" s="134"/>
      <c r="H9" s="134"/>
      <c r="I9" s="134"/>
      <c r="J9" s="134"/>
      <c r="K9" s="134"/>
      <c r="L9" s="134"/>
      <c r="M9" s="135"/>
    </row>
    <row r="10" s="97" customFormat="1" ht="17.25" customHeight="1" spans="1:13">
      <c r="A10" s="120" t="s">
        <v>19</v>
      </c>
      <c r="B10" s="132" t="s">
        <v>20</v>
      </c>
      <c r="C10" s="132"/>
      <c r="D10" s="133"/>
      <c r="E10" s="134"/>
      <c r="F10" s="134"/>
      <c r="G10" s="134"/>
      <c r="H10" s="134"/>
      <c r="I10" s="134"/>
      <c r="J10" s="134"/>
      <c r="K10" s="134"/>
      <c r="L10" s="134"/>
      <c r="M10" s="135"/>
    </row>
    <row r="11" s="97" customFormat="1" ht="17.25" customHeight="1" spans="1:13">
      <c r="A11" s="120" t="s">
        <v>21</v>
      </c>
      <c r="B11" s="132" t="s">
        <v>22</v>
      </c>
      <c r="C11" s="132"/>
      <c r="D11" s="133"/>
      <c r="E11" s="134"/>
      <c r="F11" s="134"/>
      <c r="G11" s="134"/>
      <c r="H11" s="134"/>
      <c r="I11" s="134"/>
      <c r="J11" s="134"/>
      <c r="K11" s="134"/>
      <c r="L11" s="134"/>
      <c r="M11" s="135"/>
    </row>
    <row r="12" s="97" customFormat="1" ht="17.25" customHeight="1" spans="1:13">
      <c r="A12" s="120" t="s">
        <v>23</v>
      </c>
      <c r="B12" s="132" t="s">
        <v>24</v>
      </c>
      <c r="C12" s="132"/>
      <c r="D12" s="133"/>
      <c r="E12" s="134"/>
      <c r="F12" s="134"/>
      <c r="G12" s="134"/>
      <c r="H12" s="134"/>
      <c r="I12" s="134"/>
      <c r="J12" s="134"/>
      <c r="K12" s="134"/>
      <c r="L12" s="134"/>
      <c r="M12" s="135"/>
    </row>
    <row r="13" s="97" customFormat="1" ht="17.25" customHeight="1" spans="1:13">
      <c r="A13" s="120" t="s">
        <v>25</v>
      </c>
      <c r="B13" s="136" t="s">
        <v>26</v>
      </c>
      <c r="C13" s="136"/>
      <c r="D13" s="133"/>
      <c r="E13" s="134"/>
      <c r="F13" s="134"/>
      <c r="G13" s="134"/>
      <c r="H13" s="134"/>
      <c r="I13" s="134"/>
      <c r="J13" s="134"/>
      <c r="K13" s="134"/>
      <c r="L13" s="134"/>
      <c r="M13" s="135"/>
    </row>
    <row r="14" s="97" customFormat="1" ht="17.25" customHeight="1" spans="1:13">
      <c r="A14" s="120" t="s">
        <v>27</v>
      </c>
      <c r="B14" s="137" t="s">
        <v>28</v>
      </c>
      <c r="C14" s="138"/>
      <c r="D14" s="133"/>
      <c r="E14" s="134"/>
      <c r="F14" s="134"/>
      <c r="G14" s="134"/>
      <c r="H14" s="134"/>
      <c r="I14" s="134"/>
      <c r="J14" s="134"/>
      <c r="K14" s="134"/>
      <c r="L14" s="134"/>
      <c r="M14" s="135"/>
    </row>
    <row r="15" s="97" customFormat="1" ht="19" customHeight="1" spans="1:13">
      <c r="A15" s="139" t="s">
        <v>29</v>
      </c>
      <c r="B15" s="140" t="s">
        <v>24</v>
      </c>
      <c r="C15" s="141"/>
      <c r="D15" s="133"/>
      <c r="E15" s="134"/>
      <c r="F15" s="134"/>
      <c r="G15" s="134"/>
      <c r="H15" s="134"/>
      <c r="I15" s="134"/>
      <c r="J15" s="134"/>
      <c r="K15" s="134"/>
      <c r="L15" s="134"/>
      <c r="M15" s="135"/>
    </row>
    <row r="16" s="97" customFormat="1" ht="17.25" customHeight="1" spans="1:13">
      <c r="A16" s="139" t="s">
        <v>30</v>
      </c>
      <c r="B16" s="140" t="s">
        <v>24</v>
      </c>
      <c r="C16" s="141"/>
      <c r="D16" s="142" t="s">
        <v>31</v>
      </c>
      <c r="E16" s="143">
        <f>SUM(D18:D20)</f>
        <v>87</v>
      </c>
      <c r="F16" s="144"/>
      <c r="G16" s="145" t="s">
        <v>32</v>
      </c>
      <c r="H16" s="146"/>
      <c r="I16" s="147"/>
      <c r="J16" s="148" t="s">
        <v>33</v>
      </c>
      <c r="K16" s="149"/>
      <c r="L16" s="150"/>
      <c r="M16" s="151"/>
    </row>
    <row r="17" s="100" customFormat="1" ht="30.75" customHeight="1" spans="1:13">
      <c r="A17" s="152" t="s">
        <v>34</v>
      </c>
      <c r="B17" s="153" t="s">
        <v>35</v>
      </c>
      <c r="C17" s="153" t="s">
        <v>36</v>
      </c>
      <c r="D17" s="153" t="s">
        <v>37</v>
      </c>
      <c r="E17" s="153" t="s">
        <v>38</v>
      </c>
      <c r="F17" s="153" t="s">
        <v>39</v>
      </c>
      <c r="G17" s="153" t="s">
        <v>40</v>
      </c>
      <c r="H17" s="153" t="s">
        <v>41</v>
      </c>
      <c r="I17" s="153" t="s">
        <v>42</v>
      </c>
      <c r="J17" s="153" t="s">
        <v>43</v>
      </c>
      <c r="K17" s="153" t="s">
        <v>44</v>
      </c>
      <c r="L17" s="154" t="s">
        <v>45</v>
      </c>
      <c r="M17" s="154" t="s">
        <v>46</v>
      </c>
    </row>
    <row r="18" s="100" customFormat="1" ht="15.75" customHeight="1" spans="1:13">
      <c r="A18" s="155" t="s">
        <v>47</v>
      </c>
      <c r="B18" s="54" t="s">
        <v>48</v>
      </c>
      <c r="C18" s="54" t="s">
        <v>49</v>
      </c>
      <c r="D18" s="156">
        <f t="array" ref="D18">LEN(C18)-SUM((LEN(C18)-LEN(SUBSTITUTE(C18,修饰名称!E:E,修饰名称!F:F))))</f>
        <v>20</v>
      </c>
      <c r="E18" s="16"/>
      <c r="F18" s="16"/>
      <c r="G18" s="15" t="s">
        <v>50</v>
      </c>
      <c r="H18" s="16">
        <v>1</v>
      </c>
      <c r="I18" s="17" t="s">
        <v>51</v>
      </c>
      <c r="J18" s="17" t="s">
        <v>52</v>
      </c>
      <c r="K18" s="17"/>
      <c r="L18" s="17" t="s">
        <v>53</v>
      </c>
      <c r="M18" s="157"/>
    </row>
    <row r="19" s="100" customFormat="1" ht="15.75" customHeight="1" spans="1:13">
      <c r="A19" s="155" t="s">
        <v>54</v>
      </c>
      <c r="B19" s="54" t="s">
        <v>55</v>
      </c>
      <c r="C19" s="54" t="s">
        <v>56</v>
      </c>
      <c r="D19" s="156">
        <f t="array" ref="D19">LEN(C19)-SUM((LEN(C19)-LEN(SUBSTITUTE(C19,修饰名称!E:E,修饰名称!F:F))))</f>
        <v>29</v>
      </c>
      <c r="E19" s="16"/>
      <c r="F19" s="16"/>
      <c r="G19" s="15" t="s">
        <v>50</v>
      </c>
      <c r="H19" s="16">
        <v>1</v>
      </c>
      <c r="I19" s="17" t="s">
        <v>57</v>
      </c>
      <c r="J19" s="17" t="s">
        <v>58</v>
      </c>
      <c r="K19" s="17"/>
      <c r="L19" s="17" t="s">
        <v>59</v>
      </c>
      <c r="M19" s="157"/>
    </row>
    <row r="20" s="100" customFormat="1" ht="15.75" customHeight="1" spans="1:13">
      <c r="A20" s="155" t="s">
        <v>60</v>
      </c>
      <c r="B20" s="54" t="s">
        <v>61</v>
      </c>
      <c r="C20" s="54" t="s">
        <v>62</v>
      </c>
      <c r="D20" s="156">
        <f t="array" ref="D20">LEN(C20)-SUM((LEN(C20)-LEN(SUBSTITUTE(C20,修饰名称!E:E,修饰名称!F:F))))</f>
        <v>38</v>
      </c>
      <c r="E20" s="16"/>
      <c r="F20" s="16"/>
      <c r="G20" s="15" t="s">
        <v>50</v>
      </c>
      <c r="H20" s="16">
        <v>1</v>
      </c>
      <c r="I20" s="17" t="s">
        <v>63</v>
      </c>
      <c r="J20" s="17" t="s">
        <v>64</v>
      </c>
      <c r="K20" s="17"/>
      <c r="L20" s="17" t="s">
        <v>65</v>
      </c>
      <c r="M20" s="157"/>
    </row>
  </sheetData>
  <mergeCells count="25">
    <mergeCell ref="A3:B3"/>
    <mergeCell ref="B4:C4"/>
    <mergeCell ref="D4:G4"/>
    <mergeCell ref="H4:M4"/>
    <mergeCell ref="B5:C5"/>
    <mergeCell ref="D5:G5"/>
    <mergeCell ref="H5:M5"/>
    <mergeCell ref="B6:C6"/>
    <mergeCell ref="D6:M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E16:F16"/>
    <mergeCell ref="H16:I16"/>
    <mergeCell ref="K16:M16"/>
    <mergeCell ref="A1:A2"/>
    <mergeCell ref="C1:H2"/>
    <mergeCell ref="D7:M15"/>
  </mergeCells>
  <dataValidations count="18">
    <dataValidation allowBlank="1" showInputMessage="1" showErrorMessage="1" promptTitle="填写说明" prompt="一般是填企业单位、高校、科研院所、或相关实验室的送达方，即订货人或收货人" sqref="B4:D4"/>
    <dataValidation type="textLength" operator="equal" allowBlank="1" showInputMessage="1" showErrorMessage="1" errorTitle="格式错误" error="请正确填写11位数字手机号" promptTitle="填写说明" prompt="中国大陆地区请输入11位手机号" sqref="B5" errorStyle="warning">
      <formula1>11</formula1>
    </dataValidation>
    <dataValidation allowBlank="1" showInputMessage="1" showErrorMessage="1" promptTitle="填写说明" prompt="如果您是企业客户，请填写法人；如果您是高校、科研院所或其他事业单位客户，请填写课题组负责人或导师。" sqref="B7"/>
    <dataValidation allowBlank="1" showInputMessage="1" showErrorMessage="1" prompt="此处自动合计数值，无需填写。" sqref="E16 D18:D20"/>
    <dataValidation type="list" allowBlank="1" showInputMessage="1" showErrorMessage="1" promptTitle="填写说明" prompt="请在下拉菜单中选择“是/否”" sqref="H16:I16">
      <formula1>"是"</formula1>
    </dataValidation>
    <dataValidation allowBlank="1" showErrorMessage="1" promptTitle="填写说明" prompt="如果交付形式未填写，默认干粉。" sqref="J16"/>
    <dataValidation type="list" allowBlank="1" showErrorMessage="1" prompt="如果交付形式未填写，默认干粉。" sqref="K16">
      <formula1>"干粉,液体-10μM,液体-20μM,液体-100μM"</formula1>
    </dataValidation>
    <dataValidation type="list" allowBlank="1" showInputMessage="1" showErrorMessage="1" sqref="L20">
      <formula1>帮助!$V$3:$V$7</formula1>
    </dataValidation>
    <dataValidation allowBlank="1" showInputMessage="1" showErrorMessage="1" promptTitle="记入请别做" sqref="A17:A20"/>
    <dataValidation type="list" allowBlank="1" showInputMessage="1" showErrorMessage="1" promptTitle="填写说明" prompt="请在下拉菜单中选择“是/否”" sqref="B15:B16">
      <formula1>"是,否"</formula1>
    </dataValidation>
    <dataValidation allowBlank="1" showInputMessage="1" showErrorMessage="1" prompt="请填写。" sqref="E18:E20"/>
    <dataValidation allowBlank="1" showInputMessage="1" showErrorMessage="1" promptTitle="填写说明" prompt="根据您的实验填写所需的OD量，1 OD ≈ 33 μg 一般PCR扩增，20个碱基左右引物2 OD，可以做400-500次50 μl标准PCR反应。" sqref="F18:F20"/>
    <dataValidation type="list" allowBlank="1" showInputMessage="1" showErrorMessage="1" promptTitle="填写说明" prompt="请通过下拉框选择适合的Oligo纯化方式" sqref="G18:G20">
      <formula1>"HAP,PAGE,HFP,ULTRAPAGE,HPLC,HPLC_CE,IE-HPLC,2X HPLC,PAGE+HPLC"</formula1>
    </dataValidation>
    <dataValidation allowBlank="1" showInputMessage="1" showErrorMessage="1" promptTitle="填写说明" prompt="为了便于您使用，我们提供以nmole为产量的合成。通常情况下20个碱基的引物 5 nmoles ≈ 1 OD" sqref="H18:H20"/>
    <dataValidation type="list" allowBlank="1" showInputMessage="1" showErrorMessage="1" sqref="I18:I20">
      <formula1>帮助!$N$4:$N$98</formula1>
    </dataValidation>
    <dataValidation type="list" allowBlank="1" showInputMessage="1" showErrorMessage="1" sqref="J18:J20">
      <formula1>帮助!$O$4:$O$93</formula1>
    </dataValidation>
    <dataValidation type="list" allowBlank="1" showInputMessage="1" showErrorMessage="1" sqref="K18:K20">
      <formula1>帮助!$P$4:$P$123</formula1>
    </dataValidation>
    <dataValidation type="list" allowBlank="1" showInputMessage="1" showErrorMessage="1" sqref="L18:L19">
      <formula1>帮助!$V$3:$V$8</formula1>
    </dataValidation>
  </dataValidations>
  <hyperlinks>
    <hyperlink ref="B6" r:id="rId4" display="2827883762@qq.com" tooltip="mailto:2827883762@qq.com"/>
  </hyperlinks>
  <pageMargins left="0.279166666666667" right="0.159027777777778" top="0.41875" bottom="0.559027777777778" header="0.229166666666667" footer="0.5"/>
  <pageSetup paperSize="9" scale="45" orientation="landscape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3"/>
  <sheetViews>
    <sheetView workbookViewId="0">
      <selection activeCell="C107" sqref="C107"/>
    </sheetView>
  </sheetViews>
  <sheetFormatPr defaultColWidth="9" defaultRowHeight="12.5" outlineLevelCol="5"/>
  <cols>
    <col min="1" max="1" width="21.5" style="25" customWidth="1"/>
    <col min="2" max="2" width="21.25" style="25" customWidth="1"/>
    <col min="3" max="3" width="27.8333333333333" style="25" customWidth="1"/>
    <col min="4" max="6" width="21.5833333333333" style="25" customWidth="1"/>
    <col min="7" max="16384" width="9" style="25"/>
  </cols>
  <sheetData>
    <row r="1" ht="13" spans="1:6">
      <c r="A1" s="95" t="s">
        <v>66</v>
      </c>
      <c r="B1" s="95" t="s">
        <v>67</v>
      </c>
      <c r="C1" s="95" t="s">
        <v>68</v>
      </c>
      <c r="D1" s="95" t="s">
        <v>69</v>
      </c>
      <c r="E1" s="95" t="s">
        <v>70</v>
      </c>
      <c r="F1" s="95" t="s">
        <v>71</v>
      </c>
    </row>
    <row r="2" spans="1:6">
      <c r="A2" s="96" t="s">
        <v>51</v>
      </c>
      <c r="B2" s="96" t="s">
        <v>72</v>
      </c>
      <c r="C2" s="96" t="s">
        <v>73</v>
      </c>
      <c r="D2" s="96" t="s">
        <v>74</v>
      </c>
      <c r="E2" s="96" t="s">
        <v>75</v>
      </c>
      <c r="F2" s="96" t="s">
        <v>76</v>
      </c>
    </row>
    <row r="3" spans="1:6">
      <c r="A3" s="96" t="s">
        <v>57</v>
      </c>
      <c r="B3" s="96" t="s">
        <v>52</v>
      </c>
      <c r="C3" s="96" t="s">
        <v>77</v>
      </c>
      <c r="D3" s="96" t="s">
        <v>78</v>
      </c>
      <c r="E3" s="96" t="s">
        <v>79</v>
      </c>
      <c r="F3" s="96" t="s">
        <v>76</v>
      </c>
    </row>
    <row r="4" spans="1:6">
      <c r="A4" s="96" t="s">
        <v>80</v>
      </c>
      <c r="B4" s="96" t="s">
        <v>81</v>
      </c>
      <c r="C4" s="96" t="s">
        <v>82</v>
      </c>
      <c r="D4" s="96" t="s">
        <v>83</v>
      </c>
      <c r="E4" s="96" t="s">
        <v>84</v>
      </c>
      <c r="F4" s="96" t="s">
        <v>85</v>
      </c>
    </row>
    <row r="5" ht="13" spans="1:6">
      <c r="A5" s="96" t="s">
        <v>86</v>
      </c>
      <c r="B5" s="96" t="s">
        <v>87</v>
      </c>
      <c r="C5" s="96" t="s">
        <v>88</v>
      </c>
      <c r="D5" s="96" t="s">
        <v>89</v>
      </c>
      <c r="E5" s="96" t="s">
        <v>90</v>
      </c>
      <c r="F5" s="96" t="s">
        <v>91</v>
      </c>
    </row>
    <row r="6" spans="1:6">
      <c r="A6" s="96" t="s">
        <v>92</v>
      </c>
      <c r="B6" s="96" t="s">
        <v>93</v>
      </c>
      <c r="C6" s="96" t="s">
        <v>94</v>
      </c>
      <c r="D6" s="96" t="s">
        <v>95</v>
      </c>
      <c r="E6" s="96" t="s">
        <v>96</v>
      </c>
      <c r="F6" s="96" t="s">
        <v>91</v>
      </c>
    </row>
    <row r="7" spans="1:6">
      <c r="A7" s="96" t="s">
        <v>97</v>
      </c>
      <c r="B7" s="96" t="s">
        <v>58</v>
      </c>
      <c r="C7" s="96" t="s">
        <v>98</v>
      </c>
      <c r="D7" s="96" t="s">
        <v>99</v>
      </c>
      <c r="E7" s="96" t="s">
        <v>100</v>
      </c>
      <c r="F7" s="96" t="s">
        <v>85</v>
      </c>
    </row>
    <row r="8" spans="1:6">
      <c r="A8" s="96" t="s">
        <v>63</v>
      </c>
      <c r="B8" s="96" t="s">
        <v>101</v>
      </c>
      <c r="C8" s="96" t="s">
        <v>102</v>
      </c>
      <c r="D8" s="96" t="s">
        <v>103</v>
      </c>
      <c r="E8" s="96" t="s">
        <v>104</v>
      </c>
      <c r="F8" s="96" t="s">
        <v>85</v>
      </c>
    </row>
    <row r="9" spans="1:6">
      <c r="A9" s="96" t="s">
        <v>105</v>
      </c>
      <c r="B9" s="96" t="s">
        <v>106</v>
      </c>
      <c r="C9" s="96" t="s">
        <v>107</v>
      </c>
      <c r="D9" s="96" t="s">
        <v>108</v>
      </c>
      <c r="E9" s="96" t="s">
        <v>109</v>
      </c>
      <c r="F9" s="96"/>
    </row>
    <row r="10" spans="1:6">
      <c r="A10" s="96" t="s">
        <v>110</v>
      </c>
      <c r="B10" s="96" t="s">
        <v>111</v>
      </c>
      <c r="C10" s="96" t="s">
        <v>112</v>
      </c>
      <c r="D10" s="96" t="s">
        <v>113</v>
      </c>
      <c r="E10" s="96" t="s">
        <v>114</v>
      </c>
      <c r="F10" s="96" t="s">
        <v>115</v>
      </c>
    </row>
    <row r="11" spans="1:6">
      <c r="A11" s="96" t="s">
        <v>116</v>
      </c>
      <c r="B11" s="96" t="s">
        <v>64</v>
      </c>
      <c r="C11" s="96" t="s">
        <v>117</v>
      </c>
      <c r="D11" s="96" t="s">
        <v>118</v>
      </c>
      <c r="E11" s="96" t="s">
        <v>119</v>
      </c>
      <c r="F11" s="96" t="s">
        <v>120</v>
      </c>
    </row>
    <row r="12" spans="1:6">
      <c r="A12" s="96" t="s">
        <v>121</v>
      </c>
      <c r="B12" s="96" t="s">
        <v>122</v>
      </c>
      <c r="C12" s="96" t="s">
        <v>123</v>
      </c>
      <c r="D12" s="96" t="s">
        <v>124</v>
      </c>
      <c r="E12" s="96" t="s">
        <v>125</v>
      </c>
      <c r="F12" s="96" t="s">
        <v>120</v>
      </c>
    </row>
    <row r="13" spans="1:6">
      <c r="A13" s="96" t="s">
        <v>126</v>
      </c>
      <c r="B13" s="96" t="s">
        <v>127</v>
      </c>
      <c r="C13" s="96" t="s">
        <v>128</v>
      </c>
      <c r="D13" s="96" t="s">
        <v>129</v>
      </c>
      <c r="E13" s="96" t="s">
        <v>130</v>
      </c>
      <c r="F13" s="96" t="s">
        <v>120</v>
      </c>
    </row>
    <row r="14" spans="1:6">
      <c r="A14" s="96" t="s">
        <v>131</v>
      </c>
      <c r="B14" s="96" t="s">
        <v>132</v>
      </c>
      <c r="C14" s="96" t="s">
        <v>133</v>
      </c>
      <c r="D14" s="96" t="s">
        <v>134</v>
      </c>
      <c r="E14" s="96" t="s">
        <v>135</v>
      </c>
      <c r="F14" s="96"/>
    </row>
    <row r="15" spans="1:6">
      <c r="A15" s="96" t="s">
        <v>136</v>
      </c>
      <c r="B15" s="96" t="s">
        <v>137</v>
      </c>
      <c r="C15" s="96" t="s">
        <v>138</v>
      </c>
      <c r="D15" s="96" t="s">
        <v>139</v>
      </c>
      <c r="E15" s="96" t="s">
        <v>140</v>
      </c>
      <c r="F15" s="96" t="s">
        <v>141</v>
      </c>
    </row>
    <row r="16" spans="1:6">
      <c r="A16" s="96" t="s">
        <v>142</v>
      </c>
      <c r="B16" s="96" t="s">
        <v>143</v>
      </c>
      <c r="C16" s="96" t="s">
        <v>144</v>
      </c>
      <c r="D16" s="96" t="s">
        <v>145</v>
      </c>
      <c r="E16" s="96" t="s">
        <v>146</v>
      </c>
      <c r="F16" s="96" t="s">
        <v>91</v>
      </c>
    </row>
    <row r="17" spans="1:6">
      <c r="A17" s="96" t="s">
        <v>147</v>
      </c>
      <c r="B17" s="96" t="s">
        <v>148</v>
      </c>
      <c r="C17" s="96" t="s">
        <v>149</v>
      </c>
      <c r="D17" s="96" t="s">
        <v>150</v>
      </c>
      <c r="E17" s="96" t="s">
        <v>151</v>
      </c>
      <c r="F17" s="96" t="s">
        <v>120</v>
      </c>
    </row>
    <row r="18" spans="1:6">
      <c r="A18" s="96" t="s">
        <v>152</v>
      </c>
      <c r="B18" s="96" t="s">
        <v>153</v>
      </c>
      <c r="C18" s="96" t="s">
        <v>154</v>
      </c>
      <c r="D18" s="96" t="s">
        <v>155</v>
      </c>
      <c r="E18" s="96" t="s">
        <v>156</v>
      </c>
      <c r="F18" s="96" t="s">
        <v>85</v>
      </c>
    </row>
    <row r="19" spans="1:6">
      <c r="A19" s="96" t="s">
        <v>157</v>
      </c>
      <c r="B19" s="96" t="s">
        <v>158</v>
      </c>
      <c r="C19" s="96" t="s">
        <v>159</v>
      </c>
      <c r="D19" s="96" t="s">
        <v>160</v>
      </c>
      <c r="E19" s="96" t="s">
        <v>161</v>
      </c>
      <c r="F19" s="96" t="s">
        <v>162</v>
      </c>
    </row>
    <row r="20" spans="1:6">
      <c r="A20" s="96" t="s">
        <v>163</v>
      </c>
      <c r="B20" s="96" t="s">
        <v>164</v>
      </c>
      <c r="C20" s="96" t="s">
        <v>165</v>
      </c>
      <c r="D20" s="96" t="s">
        <v>166</v>
      </c>
      <c r="E20" s="96" t="s">
        <v>167</v>
      </c>
      <c r="F20" s="96" t="s">
        <v>162</v>
      </c>
    </row>
    <row r="21" spans="1:6">
      <c r="A21" s="96" t="s">
        <v>168</v>
      </c>
      <c r="B21" s="96" t="s">
        <v>169</v>
      </c>
      <c r="C21" s="96" t="s">
        <v>170</v>
      </c>
      <c r="D21" s="96" t="s">
        <v>171</v>
      </c>
      <c r="E21" s="96" t="s">
        <v>172</v>
      </c>
      <c r="F21" s="96" t="s">
        <v>162</v>
      </c>
    </row>
    <row r="22" spans="1:6">
      <c r="A22" s="96" t="s">
        <v>173</v>
      </c>
      <c r="B22" s="96" t="s">
        <v>174</v>
      </c>
      <c r="C22" s="96" t="s">
        <v>175</v>
      </c>
      <c r="D22" s="96" t="s">
        <v>176</v>
      </c>
      <c r="E22" s="96" t="s">
        <v>177</v>
      </c>
      <c r="F22" s="96" t="s">
        <v>162</v>
      </c>
    </row>
    <row r="23" spans="1:6">
      <c r="A23" s="96" t="s">
        <v>178</v>
      </c>
      <c r="B23" s="96" t="s">
        <v>179</v>
      </c>
      <c r="C23" s="96" t="s">
        <v>180</v>
      </c>
      <c r="D23" s="96" t="s">
        <v>181</v>
      </c>
      <c r="E23" s="96" t="s">
        <v>182</v>
      </c>
      <c r="F23" s="96" t="s">
        <v>162</v>
      </c>
    </row>
    <row r="24" spans="1:6">
      <c r="A24" s="96" t="s">
        <v>183</v>
      </c>
      <c r="B24" s="96" t="s">
        <v>184</v>
      </c>
      <c r="C24" s="96" t="s">
        <v>185</v>
      </c>
      <c r="D24" s="96" t="s">
        <v>186</v>
      </c>
      <c r="E24" s="96" t="s">
        <v>187</v>
      </c>
      <c r="F24" s="96" t="s">
        <v>162</v>
      </c>
    </row>
    <row r="25" spans="1:6">
      <c r="A25" s="96" t="s">
        <v>188</v>
      </c>
      <c r="B25" s="96" t="s">
        <v>189</v>
      </c>
      <c r="C25" s="96" t="s">
        <v>190</v>
      </c>
      <c r="D25" s="96" t="s">
        <v>191</v>
      </c>
      <c r="E25" s="96" t="s">
        <v>192</v>
      </c>
      <c r="F25" s="96" t="s">
        <v>162</v>
      </c>
    </row>
    <row r="26" spans="1:6">
      <c r="A26" s="96" t="s">
        <v>193</v>
      </c>
      <c r="B26" s="96" t="s">
        <v>194</v>
      </c>
      <c r="C26" s="96" t="s">
        <v>195</v>
      </c>
      <c r="D26" s="96" t="s">
        <v>196</v>
      </c>
      <c r="E26" s="96" t="s">
        <v>197</v>
      </c>
      <c r="F26" s="96" t="s">
        <v>162</v>
      </c>
    </row>
    <row r="27" spans="1:6">
      <c r="A27" s="96" t="s">
        <v>198</v>
      </c>
      <c r="B27" s="96" t="s">
        <v>199</v>
      </c>
      <c r="C27" s="96" t="s">
        <v>200</v>
      </c>
      <c r="D27" s="96" t="s">
        <v>201</v>
      </c>
      <c r="E27" s="96" t="s">
        <v>202</v>
      </c>
      <c r="F27" s="96" t="s">
        <v>162</v>
      </c>
    </row>
    <row r="28" spans="1:6">
      <c r="A28" s="96" t="s">
        <v>203</v>
      </c>
      <c r="B28" s="96" t="s">
        <v>204</v>
      </c>
      <c r="C28" s="96" t="s">
        <v>205</v>
      </c>
      <c r="D28" s="96" t="s">
        <v>206</v>
      </c>
      <c r="E28" s="96" t="s">
        <v>207</v>
      </c>
      <c r="F28" s="96" t="s">
        <v>162</v>
      </c>
    </row>
    <row r="29" spans="1:6">
      <c r="A29" s="96" t="s">
        <v>208</v>
      </c>
      <c r="B29" s="96" t="s">
        <v>209</v>
      </c>
      <c r="C29" s="96" t="s">
        <v>210</v>
      </c>
      <c r="D29" s="96" t="s">
        <v>211</v>
      </c>
      <c r="E29" s="96" t="s">
        <v>212</v>
      </c>
      <c r="F29" s="96" t="s">
        <v>162</v>
      </c>
    </row>
    <row r="30" spans="1:6">
      <c r="A30" s="96" t="s">
        <v>213</v>
      </c>
      <c r="B30" s="96" t="s">
        <v>214</v>
      </c>
      <c r="C30" s="96" t="s">
        <v>215</v>
      </c>
      <c r="D30" s="96" t="s">
        <v>216</v>
      </c>
      <c r="E30" s="96" t="s">
        <v>217</v>
      </c>
      <c r="F30" s="96" t="s">
        <v>162</v>
      </c>
    </row>
    <row r="31" spans="1:6">
      <c r="A31" s="96" t="s">
        <v>218</v>
      </c>
      <c r="B31" s="96" t="s">
        <v>219</v>
      </c>
      <c r="C31" s="96" t="s">
        <v>220</v>
      </c>
      <c r="D31" s="96" t="s">
        <v>221</v>
      </c>
      <c r="E31" s="96" t="s">
        <v>222</v>
      </c>
      <c r="F31" s="96"/>
    </row>
    <row r="32" spans="1:6">
      <c r="A32" s="96" t="s">
        <v>223</v>
      </c>
      <c r="B32" s="96" t="s">
        <v>224</v>
      </c>
      <c r="C32" s="96" t="s">
        <v>225</v>
      </c>
      <c r="D32" s="96" t="s">
        <v>226</v>
      </c>
      <c r="E32" s="96" t="s">
        <v>227</v>
      </c>
      <c r="F32" s="96" t="s">
        <v>162</v>
      </c>
    </row>
    <row r="33" spans="1:6">
      <c r="A33" s="96" t="s">
        <v>228</v>
      </c>
      <c r="B33" s="96" t="s">
        <v>229</v>
      </c>
      <c r="C33" s="96" t="s">
        <v>230</v>
      </c>
      <c r="D33" s="96" t="s">
        <v>231</v>
      </c>
      <c r="E33" s="96" t="s">
        <v>232</v>
      </c>
      <c r="F33" s="96" t="s">
        <v>162</v>
      </c>
    </row>
    <row r="34" spans="1:6">
      <c r="A34" s="96" t="s">
        <v>233</v>
      </c>
      <c r="B34" s="96" t="s">
        <v>234</v>
      </c>
      <c r="C34" s="96" t="s">
        <v>235</v>
      </c>
      <c r="D34" s="96" t="s">
        <v>236</v>
      </c>
      <c r="E34" s="96" t="s">
        <v>237</v>
      </c>
      <c r="F34" s="96" t="s">
        <v>162</v>
      </c>
    </row>
    <row r="35" spans="1:6">
      <c r="A35" s="96" t="s">
        <v>238</v>
      </c>
      <c r="B35" s="96" t="s">
        <v>239</v>
      </c>
      <c r="C35" s="96" t="s">
        <v>240</v>
      </c>
      <c r="D35" s="96" t="s">
        <v>241</v>
      </c>
      <c r="E35" s="96" t="s">
        <v>242</v>
      </c>
      <c r="F35" s="96" t="s">
        <v>162</v>
      </c>
    </row>
    <row r="36" spans="1:6">
      <c r="A36" s="96" t="s">
        <v>243</v>
      </c>
      <c r="B36" s="96" t="s">
        <v>244</v>
      </c>
      <c r="C36" s="96" t="s">
        <v>245</v>
      </c>
      <c r="D36" s="96" t="s">
        <v>246</v>
      </c>
      <c r="E36" s="96" t="s">
        <v>247</v>
      </c>
      <c r="F36" s="96" t="s">
        <v>162</v>
      </c>
    </row>
    <row r="37" spans="1:6">
      <c r="A37" s="96" t="s">
        <v>248</v>
      </c>
      <c r="B37" s="96" t="s">
        <v>249</v>
      </c>
      <c r="C37" s="96" t="s">
        <v>250</v>
      </c>
      <c r="D37" s="96" t="s">
        <v>251</v>
      </c>
      <c r="E37" s="96" t="s">
        <v>252</v>
      </c>
      <c r="F37" s="96" t="s">
        <v>162</v>
      </c>
    </row>
    <row r="38" spans="1:6">
      <c r="A38" s="96" t="s">
        <v>253</v>
      </c>
      <c r="B38" s="96" t="s">
        <v>254</v>
      </c>
      <c r="C38" s="96" t="s">
        <v>255</v>
      </c>
      <c r="D38" s="96" t="s">
        <v>256</v>
      </c>
      <c r="E38" s="96" t="s">
        <v>257</v>
      </c>
      <c r="F38" s="96" t="s">
        <v>162</v>
      </c>
    </row>
    <row r="39" spans="1:6">
      <c r="A39" s="96" t="s">
        <v>258</v>
      </c>
      <c r="B39" s="96" t="s">
        <v>259</v>
      </c>
      <c r="C39" s="96" t="s">
        <v>260</v>
      </c>
      <c r="D39" s="96" t="s">
        <v>261</v>
      </c>
      <c r="E39" s="96" t="s">
        <v>262</v>
      </c>
      <c r="F39" s="96"/>
    </row>
    <row r="40" spans="1:6">
      <c r="A40" s="96" t="s">
        <v>263</v>
      </c>
      <c r="B40" s="96" t="s">
        <v>264</v>
      </c>
      <c r="C40" s="96" t="s">
        <v>265</v>
      </c>
      <c r="D40" s="96" t="s">
        <v>266</v>
      </c>
      <c r="E40" s="96" t="s">
        <v>267</v>
      </c>
      <c r="F40" s="96" t="s">
        <v>162</v>
      </c>
    </row>
    <row r="41" spans="1:6">
      <c r="A41" s="96" t="s">
        <v>268</v>
      </c>
      <c r="B41" s="96" t="s">
        <v>269</v>
      </c>
      <c r="C41" s="96" t="s">
        <v>270</v>
      </c>
      <c r="D41" s="96" t="s">
        <v>271</v>
      </c>
      <c r="E41" s="96" t="s">
        <v>272</v>
      </c>
      <c r="F41" s="96" t="s">
        <v>162</v>
      </c>
    </row>
    <row r="42" spans="1:6">
      <c r="A42" s="96" t="s">
        <v>273</v>
      </c>
      <c r="B42" s="96" t="s">
        <v>274</v>
      </c>
      <c r="C42" s="96" t="s">
        <v>275</v>
      </c>
      <c r="D42" s="96" t="s">
        <v>276</v>
      </c>
      <c r="E42" s="96" t="s">
        <v>277</v>
      </c>
      <c r="F42" s="96" t="s">
        <v>162</v>
      </c>
    </row>
    <row r="43" spans="1:6">
      <c r="A43" s="96" t="s">
        <v>278</v>
      </c>
      <c r="B43" s="96" t="s">
        <v>279</v>
      </c>
      <c r="C43" s="96" t="s">
        <v>280</v>
      </c>
      <c r="D43" s="96" t="s">
        <v>281</v>
      </c>
      <c r="E43" s="96" t="s">
        <v>282</v>
      </c>
      <c r="F43" s="96" t="s">
        <v>162</v>
      </c>
    </row>
    <row r="44" spans="1:6">
      <c r="A44" s="96" t="s">
        <v>283</v>
      </c>
      <c r="B44" s="96" t="s">
        <v>284</v>
      </c>
      <c r="C44" s="96" t="s">
        <v>285</v>
      </c>
      <c r="D44" s="96" t="s">
        <v>286</v>
      </c>
      <c r="E44" s="96" t="s">
        <v>287</v>
      </c>
      <c r="F44" s="96" t="s">
        <v>162</v>
      </c>
    </row>
    <row r="45" spans="1:6">
      <c r="A45" s="96" t="s">
        <v>288</v>
      </c>
      <c r="B45" s="96" t="s">
        <v>289</v>
      </c>
      <c r="C45" s="96" t="s">
        <v>290</v>
      </c>
      <c r="D45" s="96" t="s">
        <v>291</v>
      </c>
      <c r="E45" s="96" t="s">
        <v>292</v>
      </c>
      <c r="F45" s="96" t="s">
        <v>162</v>
      </c>
    </row>
    <row r="46" spans="1:6">
      <c r="A46" s="96" t="s">
        <v>293</v>
      </c>
      <c r="B46" s="96" t="s">
        <v>294</v>
      </c>
      <c r="C46" s="96" t="s">
        <v>295</v>
      </c>
      <c r="D46" s="96" t="s">
        <v>296</v>
      </c>
      <c r="E46" s="96" t="s">
        <v>297</v>
      </c>
      <c r="F46" s="96" t="s">
        <v>162</v>
      </c>
    </row>
    <row r="47" ht="13" spans="1:6">
      <c r="A47" s="96" t="s">
        <v>298</v>
      </c>
      <c r="B47" s="96" t="s">
        <v>299</v>
      </c>
      <c r="C47" s="96" t="s">
        <v>300</v>
      </c>
      <c r="D47" s="96" t="s">
        <v>301</v>
      </c>
      <c r="E47" s="96" t="s">
        <v>302</v>
      </c>
      <c r="F47" s="96" t="s">
        <v>162</v>
      </c>
    </row>
    <row r="48" spans="1:6">
      <c r="A48" s="96" t="s">
        <v>303</v>
      </c>
      <c r="B48" s="96" t="s">
        <v>304</v>
      </c>
      <c r="C48" s="96" t="s">
        <v>305</v>
      </c>
      <c r="D48" s="96" t="s">
        <v>306</v>
      </c>
      <c r="E48" s="96" t="s">
        <v>307</v>
      </c>
      <c r="F48" s="96"/>
    </row>
    <row r="49" spans="1:6">
      <c r="A49" s="96" t="s">
        <v>308</v>
      </c>
      <c r="B49" s="96" t="s">
        <v>309</v>
      </c>
      <c r="C49" s="96" t="s">
        <v>310</v>
      </c>
      <c r="D49" s="96" t="s">
        <v>311</v>
      </c>
      <c r="E49" s="96" t="s">
        <v>312</v>
      </c>
      <c r="F49" s="96" t="s">
        <v>162</v>
      </c>
    </row>
    <row r="50" spans="1:6">
      <c r="A50" s="96" t="s">
        <v>313</v>
      </c>
      <c r="B50" s="96" t="s">
        <v>314</v>
      </c>
      <c r="C50" s="96" t="s">
        <v>315</v>
      </c>
      <c r="D50" s="96" t="s">
        <v>316</v>
      </c>
      <c r="E50" s="96" t="s">
        <v>317</v>
      </c>
      <c r="F50" s="96"/>
    </row>
    <row r="51" spans="1:6">
      <c r="A51" s="96" t="s">
        <v>318</v>
      </c>
      <c r="B51" s="96" t="s">
        <v>319</v>
      </c>
      <c r="C51" s="96" t="s">
        <v>320</v>
      </c>
      <c r="D51" s="96" t="s">
        <v>321</v>
      </c>
      <c r="E51" s="96" t="s">
        <v>322</v>
      </c>
      <c r="F51" s="96" t="s">
        <v>162</v>
      </c>
    </row>
    <row r="52" spans="1:6">
      <c r="A52" s="96" t="s">
        <v>323</v>
      </c>
      <c r="B52" s="96" t="s">
        <v>324</v>
      </c>
      <c r="C52" s="96" t="s">
        <v>325</v>
      </c>
      <c r="D52" s="96" t="s">
        <v>326</v>
      </c>
      <c r="E52" s="96" t="s">
        <v>327</v>
      </c>
      <c r="F52" s="96" t="s">
        <v>162</v>
      </c>
    </row>
    <row r="53" spans="1:6">
      <c r="A53" s="96" t="s">
        <v>328</v>
      </c>
      <c r="B53" s="96" t="s">
        <v>329</v>
      </c>
      <c r="C53" s="96" t="s">
        <v>330</v>
      </c>
      <c r="D53" s="96" t="s">
        <v>331</v>
      </c>
      <c r="E53" s="96" t="s">
        <v>332</v>
      </c>
      <c r="F53" s="96" t="s">
        <v>162</v>
      </c>
    </row>
    <row r="54" ht="13" spans="1:6">
      <c r="A54" s="96" t="s">
        <v>333</v>
      </c>
      <c r="B54" s="96" t="s">
        <v>334</v>
      </c>
      <c r="C54" s="96" t="s">
        <v>335</v>
      </c>
      <c r="D54" s="96" t="s">
        <v>336</v>
      </c>
      <c r="E54" s="96" t="s">
        <v>337</v>
      </c>
      <c r="F54" s="96" t="s">
        <v>162</v>
      </c>
    </row>
    <row r="55" spans="1:6">
      <c r="A55" s="96" t="s">
        <v>338</v>
      </c>
      <c r="B55" s="96" t="s">
        <v>339</v>
      </c>
      <c r="C55" s="96" t="s">
        <v>340</v>
      </c>
      <c r="D55" s="96" t="s">
        <v>341</v>
      </c>
      <c r="E55" s="96" t="s">
        <v>342</v>
      </c>
      <c r="F55" s="96" t="s">
        <v>162</v>
      </c>
    </row>
    <row r="56" spans="1:6">
      <c r="A56" s="96" t="s">
        <v>343</v>
      </c>
      <c r="B56" s="96" t="s">
        <v>344</v>
      </c>
      <c r="C56" s="96" t="s">
        <v>345</v>
      </c>
      <c r="D56" s="96" t="s">
        <v>346</v>
      </c>
      <c r="E56" s="96" t="s">
        <v>347</v>
      </c>
      <c r="F56" s="96" t="s">
        <v>162</v>
      </c>
    </row>
    <row r="57" spans="1:6">
      <c r="A57" s="96" t="s">
        <v>348</v>
      </c>
      <c r="B57" s="96" t="s">
        <v>349</v>
      </c>
      <c r="C57" s="96" t="s">
        <v>350</v>
      </c>
      <c r="D57" s="96" t="s">
        <v>351</v>
      </c>
      <c r="E57" s="96" t="s">
        <v>352</v>
      </c>
      <c r="F57" s="96" t="s">
        <v>162</v>
      </c>
    </row>
    <row r="58" spans="1:6">
      <c r="A58" s="96" t="s">
        <v>353</v>
      </c>
      <c r="B58" s="96" t="s">
        <v>354</v>
      </c>
      <c r="C58" s="96" t="s">
        <v>355</v>
      </c>
      <c r="D58" s="96" t="s">
        <v>356</v>
      </c>
      <c r="E58" s="96" t="s">
        <v>357</v>
      </c>
      <c r="F58" s="96" t="s">
        <v>162</v>
      </c>
    </row>
    <row r="59" spans="1:6">
      <c r="A59" s="96" t="s">
        <v>358</v>
      </c>
      <c r="B59" s="96" t="s">
        <v>359</v>
      </c>
      <c r="C59" s="96" t="s">
        <v>360</v>
      </c>
      <c r="D59" s="96" t="s">
        <v>361</v>
      </c>
      <c r="E59" s="96" t="s">
        <v>362</v>
      </c>
      <c r="F59" s="96"/>
    </row>
    <row r="60" ht="13" spans="1:6">
      <c r="A60" s="96" t="s">
        <v>363</v>
      </c>
      <c r="B60" s="96" t="s">
        <v>364</v>
      </c>
      <c r="C60" s="96" t="s">
        <v>365</v>
      </c>
      <c r="D60" s="96" t="s">
        <v>366</v>
      </c>
      <c r="E60" s="96" t="s">
        <v>367</v>
      </c>
      <c r="F60" s="96"/>
    </row>
    <row r="61" spans="1:6">
      <c r="A61" s="96" t="s">
        <v>368</v>
      </c>
      <c r="B61" s="96" t="s">
        <v>369</v>
      </c>
      <c r="C61" s="96" t="s">
        <v>370</v>
      </c>
      <c r="D61" s="96" t="s">
        <v>371</v>
      </c>
      <c r="E61" s="96" t="s">
        <v>372</v>
      </c>
      <c r="F61" s="96" t="s">
        <v>162</v>
      </c>
    </row>
    <row r="62" spans="1:6">
      <c r="A62" s="96" t="s">
        <v>373</v>
      </c>
      <c r="B62" s="96" t="s">
        <v>374</v>
      </c>
      <c r="C62" s="96" t="s">
        <v>375</v>
      </c>
      <c r="D62" s="96" t="s">
        <v>376</v>
      </c>
      <c r="E62" s="96" t="s">
        <v>377</v>
      </c>
      <c r="F62" s="96"/>
    </row>
    <row r="63" spans="1:6">
      <c r="A63" s="96" t="s">
        <v>378</v>
      </c>
      <c r="B63" s="96" t="s">
        <v>379</v>
      </c>
      <c r="C63" s="96" t="s">
        <v>380</v>
      </c>
      <c r="D63" s="96" t="s">
        <v>381</v>
      </c>
      <c r="E63" s="96" t="s">
        <v>382</v>
      </c>
      <c r="F63" s="96" t="s">
        <v>162</v>
      </c>
    </row>
    <row r="64" spans="1:6">
      <c r="A64" s="96" t="s">
        <v>383</v>
      </c>
      <c r="B64" s="96" t="s">
        <v>384</v>
      </c>
      <c r="C64" s="96" t="s">
        <v>385</v>
      </c>
      <c r="D64" s="96" t="s">
        <v>386</v>
      </c>
      <c r="E64" s="96" t="s">
        <v>387</v>
      </c>
      <c r="F64" s="96" t="s">
        <v>162</v>
      </c>
    </row>
    <row r="65" spans="1:6">
      <c r="A65" s="96" t="s">
        <v>388</v>
      </c>
      <c r="B65" s="96" t="s">
        <v>389</v>
      </c>
      <c r="C65" s="96" t="s">
        <v>390</v>
      </c>
      <c r="D65" s="96" t="s">
        <v>391</v>
      </c>
      <c r="E65" s="96" t="s">
        <v>392</v>
      </c>
      <c r="F65" s="96"/>
    </row>
    <row r="66" spans="1:6">
      <c r="A66" s="96" t="s">
        <v>393</v>
      </c>
      <c r="B66" s="96" t="s">
        <v>394</v>
      </c>
      <c r="C66" s="96" t="s">
        <v>395</v>
      </c>
      <c r="D66" s="96" t="s">
        <v>396</v>
      </c>
      <c r="E66" s="96" t="s">
        <v>397</v>
      </c>
      <c r="F66" s="96" t="s">
        <v>162</v>
      </c>
    </row>
    <row r="67" ht="13" spans="1:6">
      <c r="A67" s="96" t="s">
        <v>398</v>
      </c>
      <c r="B67" s="96" t="s">
        <v>399</v>
      </c>
      <c r="C67" s="96" t="s">
        <v>400</v>
      </c>
      <c r="D67" s="96" t="s">
        <v>401</v>
      </c>
      <c r="E67" s="96" t="s">
        <v>402</v>
      </c>
      <c r="F67" s="96" t="s">
        <v>162</v>
      </c>
    </row>
    <row r="68" spans="1:6">
      <c r="A68" s="96" t="s">
        <v>403</v>
      </c>
      <c r="B68" s="96" t="s">
        <v>404</v>
      </c>
      <c r="C68" s="96" t="s">
        <v>405</v>
      </c>
      <c r="D68" s="96" t="s">
        <v>406</v>
      </c>
      <c r="E68" s="96" t="s">
        <v>407</v>
      </c>
      <c r="F68" s="96" t="s">
        <v>162</v>
      </c>
    </row>
    <row r="69" spans="1:6">
      <c r="A69" s="96" t="s">
        <v>408</v>
      </c>
      <c r="B69" s="96" t="s">
        <v>409</v>
      </c>
      <c r="C69" s="96" t="s">
        <v>410</v>
      </c>
      <c r="D69" s="96" t="s">
        <v>411</v>
      </c>
      <c r="E69" s="96" t="s">
        <v>412</v>
      </c>
      <c r="F69" s="96" t="s">
        <v>162</v>
      </c>
    </row>
    <row r="70" spans="1:6">
      <c r="A70" s="96" t="s">
        <v>413</v>
      </c>
      <c r="B70" s="96" t="s">
        <v>414</v>
      </c>
      <c r="C70" s="96" t="s">
        <v>415</v>
      </c>
      <c r="D70" s="96" t="s">
        <v>416</v>
      </c>
      <c r="E70" s="96" t="s">
        <v>417</v>
      </c>
      <c r="F70" s="96" t="s">
        <v>162</v>
      </c>
    </row>
    <row r="71" ht="13" spans="1:6">
      <c r="A71" s="96" t="s">
        <v>418</v>
      </c>
      <c r="B71" s="96" t="s">
        <v>419</v>
      </c>
      <c r="C71" s="96" t="s">
        <v>420</v>
      </c>
      <c r="D71" s="96" t="s">
        <v>421</v>
      </c>
      <c r="E71" s="96" t="s">
        <v>422</v>
      </c>
      <c r="F71" s="96" t="s">
        <v>162</v>
      </c>
    </row>
    <row r="72" spans="1:6">
      <c r="A72" s="96" t="s">
        <v>423</v>
      </c>
      <c r="B72" s="96" t="s">
        <v>424</v>
      </c>
      <c r="C72" s="96" t="s">
        <v>425</v>
      </c>
      <c r="D72" s="96" t="s">
        <v>426</v>
      </c>
      <c r="E72" s="96" t="s">
        <v>427</v>
      </c>
      <c r="F72" s="96" t="s">
        <v>162</v>
      </c>
    </row>
    <row r="73" spans="1:6">
      <c r="A73" s="96" t="s">
        <v>428</v>
      </c>
      <c r="B73" s="96" t="s">
        <v>429</v>
      </c>
      <c r="C73" s="96" t="s">
        <v>430</v>
      </c>
      <c r="D73" s="96" t="s">
        <v>431</v>
      </c>
      <c r="E73" s="96" t="s">
        <v>432</v>
      </c>
      <c r="F73" s="96" t="s">
        <v>162</v>
      </c>
    </row>
    <row r="74" spans="1:6">
      <c r="A74" s="96" t="s">
        <v>433</v>
      </c>
      <c r="B74" s="96" t="s">
        <v>434</v>
      </c>
      <c r="C74" s="96" t="s">
        <v>435</v>
      </c>
      <c r="D74" s="96" t="s">
        <v>436</v>
      </c>
      <c r="E74" s="96" t="s">
        <v>437</v>
      </c>
      <c r="F74" s="96" t="s">
        <v>162</v>
      </c>
    </row>
    <row r="75" spans="1:6">
      <c r="A75" s="96" t="s">
        <v>438</v>
      </c>
      <c r="B75" s="96" t="s">
        <v>439</v>
      </c>
      <c r="C75" s="96" t="s">
        <v>440</v>
      </c>
      <c r="D75" s="96" t="s">
        <v>441</v>
      </c>
      <c r="E75" s="96" t="s">
        <v>442</v>
      </c>
      <c r="F75" s="96" t="s">
        <v>162</v>
      </c>
    </row>
    <row r="76" ht="13" spans="1:6">
      <c r="A76" s="96" t="s">
        <v>443</v>
      </c>
      <c r="B76" s="96" t="s">
        <v>444</v>
      </c>
      <c r="C76" s="96" t="s">
        <v>445</v>
      </c>
      <c r="D76" s="96" t="s">
        <v>446</v>
      </c>
      <c r="E76" s="96" t="s">
        <v>447</v>
      </c>
      <c r="F76" s="96" t="s">
        <v>162</v>
      </c>
    </row>
    <row r="77" spans="1:6">
      <c r="A77" s="96" t="s">
        <v>448</v>
      </c>
      <c r="B77" s="96" t="s">
        <v>449</v>
      </c>
      <c r="C77" s="96" t="s">
        <v>450</v>
      </c>
      <c r="D77" s="96" t="s">
        <v>451</v>
      </c>
      <c r="E77" s="96" t="s">
        <v>452</v>
      </c>
      <c r="F77" s="96" t="s">
        <v>162</v>
      </c>
    </row>
    <row r="78" spans="1:6">
      <c r="A78" s="96" t="s">
        <v>453</v>
      </c>
      <c r="B78" s="96" t="s">
        <v>454</v>
      </c>
      <c r="C78" s="96" t="s">
        <v>455</v>
      </c>
      <c r="D78" s="96" t="s">
        <v>456</v>
      </c>
      <c r="E78" s="96" t="s">
        <v>457</v>
      </c>
      <c r="F78" s="96" t="s">
        <v>162</v>
      </c>
    </row>
    <row r="79" spans="1:6">
      <c r="A79" s="96" t="s">
        <v>458</v>
      </c>
      <c r="B79" s="96" t="s">
        <v>459</v>
      </c>
      <c r="C79" s="96" t="s">
        <v>460</v>
      </c>
      <c r="D79" s="96" t="s">
        <v>461</v>
      </c>
      <c r="E79" s="96" t="s">
        <v>462</v>
      </c>
      <c r="F79" s="96" t="s">
        <v>162</v>
      </c>
    </row>
    <row r="80" spans="1:6">
      <c r="A80" s="96" t="s">
        <v>463</v>
      </c>
      <c r="B80" s="96" t="s">
        <v>464</v>
      </c>
      <c r="C80" s="96" t="s">
        <v>465</v>
      </c>
      <c r="D80" s="96" t="s">
        <v>466</v>
      </c>
      <c r="E80" s="96" t="s">
        <v>467</v>
      </c>
      <c r="F80" s="96" t="s">
        <v>162</v>
      </c>
    </row>
    <row r="81" ht="13" spans="1:6">
      <c r="A81" s="96" t="s">
        <v>468</v>
      </c>
      <c r="B81" s="96" t="s">
        <v>469</v>
      </c>
      <c r="C81" s="96" t="s">
        <v>470</v>
      </c>
      <c r="D81" s="96" t="s">
        <v>471</v>
      </c>
      <c r="E81" s="96" t="s">
        <v>472</v>
      </c>
      <c r="F81" s="96" t="s">
        <v>162</v>
      </c>
    </row>
    <row r="82" spans="1:6">
      <c r="A82" s="96" t="s">
        <v>473</v>
      </c>
      <c r="B82" s="96" t="s">
        <v>474</v>
      </c>
      <c r="C82" s="96" t="s">
        <v>475</v>
      </c>
      <c r="D82" s="96" t="s">
        <v>476</v>
      </c>
      <c r="E82" s="96" t="s">
        <v>477</v>
      </c>
      <c r="F82" s="96" t="s">
        <v>162</v>
      </c>
    </row>
    <row r="83" spans="1:6">
      <c r="A83" s="96" t="s">
        <v>478</v>
      </c>
      <c r="B83" s="96" t="s">
        <v>479</v>
      </c>
      <c r="C83" s="96" t="s">
        <v>480</v>
      </c>
      <c r="D83" s="96" t="s">
        <v>481</v>
      </c>
      <c r="E83" s="96" t="s">
        <v>482</v>
      </c>
      <c r="F83" s="96"/>
    </row>
    <row r="84" ht="13" spans="1:6">
      <c r="A84" s="96" t="s">
        <v>483</v>
      </c>
      <c r="B84" s="96" t="s">
        <v>484</v>
      </c>
      <c r="C84" s="96" t="s">
        <v>485</v>
      </c>
      <c r="D84" s="96" t="s">
        <v>486</v>
      </c>
      <c r="E84" s="96" t="s">
        <v>487</v>
      </c>
      <c r="F84" s="96" t="s">
        <v>162</v>
      </c>
    </row>
    <row r="85" spans="1:6">
      <c r="A85" s="96" t="s">
        <v>488</v>
      </c>
      <c r="B85" s="96" t="s">
        <v>489</v>
      </c>
      <c r="C85" s="96" t="s">
        <v>490</v>
      </c>
      <c r="D85" s="96" t="s">
        <v>491</v>
      </c>
      <c r="E85" s="96" t="s">
        <v>492</v>
      </c>
      <c r="F85" s="96" t="s">
        <v>162</v>
      </c>
    </row>
    <row r="86" spans="1:6">
      <c r="A86" s="96" t="s">
        <v>493</v>
      </c>
      <c r="B86" s="96" t="s">
        <v>494</v>
      </c>
      <c r="C86" s="96" t="s">
        <v>495</v>
      </c>
      <c r="D86" s="96" t="s">
        <v>496</v>
      </c>
      <c r="E86" s="96" t="s">
        <v>497</v>
      </c>
      <c r="F86" s="96" t="s">
        <v>162</v>
      </c>
    </row>
    <row r="87" spans="1:6">
      <c r="A87" s="96" t="s">
        <v>498</v>
      </c>
      <c r="B87" s="96" t="s">
        <v>499</v>
      </c>
      <c r="C87" s="96" t="s">
        <v>500</v>
      </c>
      <c r="D87" s="96" t="s">
        <v>501</v>
      </c>
      <c r="E87" s="96" t="s">
        <v>502</v>
      </c>
      <c r="F87" s="96"/>
    </row>
    <row r="88" ht="13" spans="1:6">
      <c r="A88" s="96" t="s">
        <v>503</v>
      </c>
      <c r="B88" s="96" t="s">
        <v>504</v>
      </c>
      <c r="C88" s="96" t="s">
        <v>505</v>
      </c>
      <c r="D88" s="96" t="s">
        <v>506</v>
      </c>
      <c r="E88" s="96" t="s">
        <v>507</v>
      </c>
      <c r="F88" s="96" t="s">
        <v>162</v>
      </c>
    </row>
    <row r="89" spans="1:6">
      <c r="A89" s="96" t="s">
        <v>508</v>
      </c>
      <c r="B89" s="96" t="s">
        <v>509</v>
      </c>
      <c r="C89" s="96" t="s">
        <v>510</v>
      </c>
      <c r="D89" s="96" t="s">
        <v>511</v>
      </c>
      <c r="E89" s="96" t="s">
        <v>512</v>
      </c>
      <c r="F89" s="96" t="s">
        <v>76</v>
      </c>
    </row>
    <row r="90" spans="1:6">
      <c r="A90" s="96" t="s">
        <v>513</v>
      </c>
      <c r="B90" s="96"/>
      <c r="C90" s="96" t="s">
        <v>514</v>
      </c>
      <c r="D90" s="96" t="s">
        <v>515</v>
      </c>
      <c r="E90" s="96" t="s">
        <v>516</v>
      </c>
      <c r="F90" s="96"/>
    </row>
    <row r="91" spans="1:6">
      <c r="A91" s="96" t="s">
        <v>517</v>
      </c>
      <c r="B91" s="96"/>
      <c r="C91" s="96" t="s">
        <v>518</v>
      </c>
      <c r="D91" s="96" t="s">
        <v>519</v>
      </c>
      <c r="E91" s="96" t="s">
        <v>520</v>
      </c>
      <c r="F91" s="96"/>
    </row>
    <row r="92" spans="1:6">
      <c r="A92" s="96"/>
      <c r="B92" s="96"/>
      <c r="C92" s="96" t="s">
        <v>521</v>
      </c>
      <c r="D92" s="96" t="s">
        <v>522</v>
      </c>
      <c r="E92" s="96" t="s">
        <v>523</v>
      </c>
      <c r="F92" s="96" t="s">
        <v>85</v>
      </c>
    </row>
    <row r="93" spans="1:6">
      <c r="A93" s="96"/>
      <c r="B93" s="96"/>
      <c r="C93" s="96" t="s">
        <v>524</v>
      </c>
      <c r="D93" s="96" t="s">
        <v>525</v>
      </c>
      <c r="E93" s="96" t="s">
        <v>526</v>
      </c>
      <c r="F93" s="96"/>
    </row>
    <row r="94" ht="13" spans="1:6">
      <c r="A94" s="96"/>
      <c r="B94" s="96"/>
      <c r="C94" s="96" t="s">
        <v>527</v>
      </c>
      <c r="D94" s="96" t="s">
        <v>528</v>
      </c>
      <c r="E94" s="96" t="s">
        <v>529</v>
      </c>
      <c r="F94" s="96"/>
    </row>
    <row r="95" spans="1:6">
      <c r="A95" s="96"/>
      <c r="B95" s="96"/>
      <c r="C95" s="96" t="s">
        <v>530</v>
      </c>
      <c r="D95" s="96" t="s">
        <v>531</v>
      </c>
      <c r="E95" s="96" t="s">
        <v>532</v>
      </c>
      <c r="F95" s="96"/>
    </row>
    <row r="96" spans="1:6">
      <c r="A96" s="96"/>
      <c r="B96" s="96"/>
      <c r="C96" s="96" t="s">
        <v>533</v>
      </c>
      <c r="D96" s="96" t="s">
        <v>534</v>
      </c>
      <c r="E96" s="96" t="s">
        <v>535</v>
      </c>
      <c r="F96" s="96" t="s">
        <v>76</v>
      </c>
    </row>
    <row r="97" spans="1:6">
      <c r="A97" s="96"/>
      <c r="B97" s="96"/>
      <c r="C97" s="96" t="s">
        <v>536</v>
      </c>
      <c r="D97" s="96" t="s">
        <v>537</v>
      </c>
      <c r="E97" s="96" t="s">
        <v>538</v>
      </c>
      <c r="F97" s="96" t="s">
        <v>85</v>
      </c>
    </row>
    <row r="98" spans="1:6">
      <c r="A98" s="96"/>
      <c r="B98" s="96"/>
      <c r="C98" s="96" t="s">
        <v>539</v>
      </c>
      <c r="D98" s="96" t="s">
        <v>540</v>
      </c>
      <c r="E98" s="96" t="s">
        <v>541</v>
      </c>
      <c r="F98" s="96" t="s">
        <v>115</v>
      </c>
    </row>
    <row r="99" spans="1:6">
      <c r="A99" s="96"/>
      <c r="B99" s="96"/>
      <c r="C99" s="96" t="s">
        <v>542</v>
      </c>
      <c r="D99" s="96" t="s">
        <v>543</v>
      </c>
      <c r="E99" s="96" t="s">
        <v>544</v>
      </c>
      <c r="F99" s="96" t="s">
        <v>162</v>
      </c>
    </row>
    <row r="100" ht="13" spans="1:6">
      <c r="A100" s="96"/>
      <c r="B100" s="96"/>
      <c r="C100" s="96" t="s">
        <v>545</v>
      </c>
      <c r="D100" s="96" t="s">
        <v>546</v>
      </c>
      <c r="E100" s="96" t="s">
        <v>547</v>
      </c>
      <c r="F100" s="96" t="s">
        <v>76</v>
      </c>
    </row>
    <row r="101" spans="1:6">
      <c r="A101" s="96"/>
      <c r="B101" s="96"/>
      <c r="C101" s="96" t="s">
        <v>548</v>
      </c>
      <c r="D101" s="96" t="s">
        <v>546</v>
      </c>
      <c r="E101" s="96" t="s">
        <v>549</v>
      </c>
      <c r="F101" s="96" t="s">
        <v>85</v>
      </c>
    </row>
    <row r="102" spans="1:6">
      <c r="A102" s="96"/>
      <c r="B102" s="96"/>
      <c r="C102" s="96" t="s">
        <v>550</v>
      </c>
      <c r="D102" s="96" t="s">
        <v>546</v>
      </c>
      <c r="E102" s="96" t="s">
        <v>551</v>
      </c>
      <c r="F102" s="96" t="s">
        <v>115</v>
      </c>
    </row>
    <row r="103" spans="1:6">
      <c r="A103" s="96"/>
      <c r="B103" s="96"/>
      <c r="C103" s="96" t="s">
        <v>552</v>
      </c>
      <c r="D103" s="96" t="s">
        <v>546</v>
      </c>
      <c r="E103" s="96" t="s">
        <v>553</v>
      </c>
      <c r="F103" s="96" t="s">
        <v>162</v>
      </c>
    </row>
    <row r="104" spans="1:6">
      <c r="A104" s="96"/>
      <c r="B104" s="96"/>
      <c r="C104" s="96" t="s">
        <v>554</v>
      </c>
      <c r="D104" s="96" t="s">
        <v>555</v>
      </c>
      <c r="E104" s="96" t="s">
        <v>556</v>
      </c>
      <c r="F104" s="96" t="s">
        <v>76</v>
      </c>
    </row>
    <row r="105" spans="1:6">
      <c r="A105" s="96"/>
      <c r="B105" s="96"/>
      <c r="C105" s="96" t="s">
        <v>557</v>
      </c>
      <c r="D105" s="96" t="s">
        <v>555</v>
      </c>
      <c r="E105" s="96" t="s">
        <v>558</v>
      </c>
      <c r="F105" s="96" t="s">
        <v>85</v>
      </c>
    </row>
    <row r="106" ht="13" spans="1:6">
      <c r="A106" s="96"/>
      <c r="B106" s="96"/>
      <c r="C106" s="96" t="s">
        <v>559</v>
      </c>
      <c r="D106" s="96" t="s">
        <v>555</v>
      </c>
      <c r="E106" s="96" t="s">
        <v>560</v>
      </c>
      <c r="F106" s="96" t="s">
        <v>115</v>
      </c>
    </row>
    <row r="107" spans="1:6">
      <c r="A107" s="96"/>
      <c r="B107" s="96"/>
      <c r="C107" s="96" t="s">
        <v>561</v>
      </c>
      <c r="D107" s="96" t="s">
        <v>555</v>
      </c>
      <c r="E107" s="96" t="s">
        <v>562</v>
      </c>
      <c r="F107" s="96" t="s">
        <v>91</v>
      </c>
    </row>
    <row r="108" spans="1:6">
      <c r="A108" s="96"/>
      <c r="B108" s="96"/>
      <c r="C108" s="96" t="s">
        <v>563</v>
      </c>
      <c r="D108" s="96" t="s">
        <v>564</v>
      </c>
      <c r="E108" s="96" t="s">
        <v>565</v>
      </c>
      <c r="F108" s="96" t="s">
        <v>76</v>
      </c>
    </row>
    <row r="109" spans="1:6">
      <c r="A109" s="96"/>
      <c r="B109" s="96"/>
      <c r="C109" s="96" t="s">
        <v>566</v>
      </c>
      <c r="D109" s="96" t="s">
        <v>564</v>
      </c>
      <c r="E109" s="96" t="s">
        <v>567</v>
      </c>
      <c r="F109" s="96" t="s">
        <v>85</v>
      </c>
    </row>
    <row r="110" spans="1:6">
      <c r="A110" s="96"/>
      <c r="B110" s="96"/>
      <c r="C110" s="96"/>
      <c r="D110" s="96" t="s">
        <v>564</v>
      </c>
      <c r="E110" s="96" t="s">
        <v>568</v>
      </c>
      <c r="F110" s="96" t="s">
        <v>115</v>
      </c>
    </row>
    <row r="111" spans="1:6">
      <c r="A111" s="96"/>
      <c r="B111" s="96"/>
      <c r="C111" s="96"/>
      <c r="D111" s="96" t="s">
        <v>564</v>
      </c>
      <c r="E111" s="96" t="s">
        <v>569</v>
      </c>
      <c r="F111" s="96" t="s">
        <v>162</v>
      </c>
    </row>
    <row r="112" spans="1:6">
      <c r="A112" s="96"/>
      <c r="B112" s="96"/>
      <c r="C112" s="96"/>
      <c r="D112" s="96" t="s">
        <v>570</v>
      </c>
      <c r="E112" s="96" t="s">
        <v>571</v>
      </c>
      <c r="F112" s="96" t="s">
        <v>76</v>
      </c>
    </row>
    <row r="113" spans="1:6">
      <c r="A113" s="96"/>
      <c r="B113" s="96"/>
      <c r="C113" s="96"/>
      <c r="D113" s="96" t="s">
        <v>570</v>
      </c>
      <c r="E113" s="96" t="s">
        <v>572</v>
      </c>
      <c r="F113" s="96" t="s">
        <v>85</v>
      </c>
    </row>
    <row r="114" spans="1:6">
      <c r="A114" s="96"/>
      <c r="B114" s="96"/>
      <c r="C114" s="96"/>
      <c r="D114" s="96" t="s">
        <v>570</v>
      </c>
      <c r="E114" s="96" t="s">
        <v>573</v>
      </c>
      <c r="F114" s="96" t="s">
        <v>115</v>
      </c>
    </row>
    <row r="115" spans="1:6">
      <c r="A115" s="96"/>
      <c r="B115" s="96"/>
      <c r="C115" s="96"/>
      <c r="D115" s="96" t="s">
        <v>570</v>
      </c>
      <c r="E115" s="96" t="s">
        <v>574</v>
      </c>
      <c r="F115" s="96" t="s">
        <v>91</v>
      </c>
    </row>
    <row r="116" spans="1:6">
      <c r="A116" s="96"/>
      <c r="B116" s="96"/>
      <c r="C116" s="96"/>
      <c r="D116" s="96" t="s">
        <v>575</v>
      </c>
      <c r="E116" s="96" t="s">
        <v>576</v>
      </c>
      <c r="F116" s="96" t="s">
        <v>76</v>
      </c>
    </row>
    <row r="117" spans="1:6">
      <c r="A117" s="96"/>
      <c r="B117" s="96"/>
      <c r="C117" s="96"/>
      <c r="D117" s="96" t="s">
        <v>575</v>
      </c>
      <c r="E117" s="96" t="s">
        <v>577</v>
      </c>
      <c r="F117" s="96" t="s">
        <v>85</v>
      </c>
    </row>
    <row r="118" spans="1:6">
      <c r="A118" s="96"/>
      <c r="B118" s="96"/>
      <c r="C118" s="96"/>
      <c r="D118" s="96" t="s">
        <v>575</v>
      </c>
      <c r="E118" s="96" t="s">
        <v>578</v>
      </c>
      <c r="F118" s="96" t="s">
        <v>115</v>
      </c>
    </row>
    <row r="119" spans="1:6">
      <c r="A119" s="96"/>
      <c r="B119" s="96"/>
      <c r="C119" s="96"/>
      <c r="D119" s="96" t="s">
        <v>575</v>
      </c>
      <c r="E119" s="96" t="s">
        <v>579</v>
      </c>
      <c r="F119" s="96" t="s">
        <v>91</v>
      </c>
    </row>
    <row r="120" spans="1:6">
      <c r="A120" s="96"/>
      <c r="B120" s="96"/>
      <c r="C120" s="96"/>
      <c r="D120" s="96" t="s">
        <v>580</v>
      </c>
      <c r="E120" s="96" t="s">
        <v>581</v>
      </c>
      <c r="F120" s="96" t="s">
        <v>76</v>
      </c>
    </row>
    <row r="121" spans="1:6">
      <c r="A121" s="96"/>
      <c r="B121" s="96"/>
      <c r="C121" s="96"/>
      <c r="D121" s="96" t="s">
        <v>580</v>
      </c>
      <c r="E121" s="96" t="s">
        <v>582</v>
      </c>
      <c r="F121" s="96" t="s">
        <v>85</v>
      </c>
    </row>
    <row r="122" spans="1:6">
      <c r="A122" s="96"/>
      <c r="B122" s="96"/>
      <c r="C122" s="96"/>
      <c r="D122" s="96" t="s">
        <v>580</v>
      </c>
      <c r="E122" s="96" t="s">
        <v>583</v>
      </c>
      <c r="F122" s="96" t="s">
        <v>115</v>
      </c>
    </row>
    <row r="123" spans="1:6">
      <c r="A123" s="96"/>
      <c r="B123" s="96"/>
      <c r="C123" s="96"/>
      <c r="D123" s="96" t="s">
        <v>580</v>
      </c>
      <c r="E123" s="96" t="s">
        <v>584</v>
      </c>
      <c r="F123" s="96" t="s">
        <v>91</v>
      </c>
    </row>
  </sheetData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9"/>
  <sheetViews>
    <sheetView workbookViewId="0">
      <selection activeCell="V13" sqref="V13"/>
    </sheetView>
  </sheetViews>
  <sheetFormatPr defaultColWidth="9" defaultRowHeight="12.5"/>
  <cols>
    <col min="1" max="4" width="5.83333333333333" style="25" customWidth="1"/>
    <col min="5" max="12" width="7.58333333333333" style="26" customWidth="1"/>
    <col min="13" max="13" width="3.58333333333333" style="25" customWidth="1"/>
    <col min="14" max="14" width="16.3333333333333" style="25" customWidth="1"/>
    <col min="15" max="15" width="17.5" style="25" customWidth="1"/>
    <col min="16" max="16" width="24.25" style="25" customWidth="1"/>
    <col min="17" max="17" width="21.0833333333333" style="25" customWidth="1"/>
    <col min="18" max="18" width="14.5" style="25" customWidth="1"/>
    <col min="19" max="19" width="8.58333333333333" style="25" customWidth="1"/>
    <col min="20" max="20" width="17.0833333333333" style="25" customWidth="1"/>
    <col min="21" max="21" width="2.75" style="25" customWidth="1"/>
    <col min="22" max="22" width="13.25" style="25" customWidth="1"/>
    <col min="23" max="23" width="15.3333333333333" style="25" customWidth="1"/>
    <col min="24" max="28" width="8" style="25" customWidth="1"/>
    <col min="29" max="16384" width="9" style="25"/>
  </cols>
  <sheetData>
    <row r="1" s="24" customFormat="1" ht="20.15" customHeight="1" spans="1:23">
      <c r="A1" s="27" t="s">
        <v>585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N1" s="27" t="s">
        <v>586</v>
      </c>
      <c r="O1" s="27"/>
      <c r="P1" s="27"/>
      <c r="Q1" s="27"/>
      <c r="R1" s="27"/>
      <c r="S1" s="27"/>
      <c r="T1" s="27" t="s">
        <v>587</v>
      </c>
      <c r="V1" s="28" t="s">
        <v>45</v>
      </c>
      <c r="W1" s="29"/>
    </row>
    <row r="2" s="24" customFormat="1" ht="24.75" customHeight="1" spans="1:23">
      <c r="A2" s="30" t="s">
        <v>588</v>
      </c>
      <c r="B2" s="31"/>
      <c r="C2" s="31"/>
      <c r="D2" s="32"/>
      <c r="E2" s="33" t="s">
        <v>589</v>
      </c>
      <c r="F2" s="33"/>
      <c r="G2" s="33"/>
      <c r="H2" s="33"/>
      <c r="I2" s="33"/>
      <c r="J2" s="33"/>
      <c r="K2" s="33"/>
      <c r="L2" s="33"/>
      <c r="N2" s="34" t="s">
        <v>590</v>
      </c>
      <c r="O2" s="34" t="s">
        <v>591</v>
      </c>
      <c r="P2" s="34" t="s">
        <v>592</v>
      </c>
      <c r="Q2" s="34" t="s">
        <v>593</v>
      </c>
      <c r="R2" s="35" t="s">
        <v>594</v>
      </c>
      <c r="S2" s="34" t="s">
        <v>595</v>
      </c>
      <c r="T2" s="35" t="s">
        <v>596</v>
      </c>
      <c r="V2" s="36" t="s">
        <v>597</v>
      </c>
      <c r="W2" s="36" t="s">
        <v>598</v>
      </c>
    </row>
    <row r="3" s="24" customFormat="1" ht="26" spans="1:23">
      <c r="A3" s="37"/>
      <c r="B3" s="38"/>
      <c r="C3" s="38"/>
      <c r="D3" s="39"/>
      <c r="E3" s="33" t="s">
        <v>50</v>
      </c>
      <c r="F3" s="33" t="s">
        <v>599</v>
      </c>
      <c r="G3" s="33" t="s">
        <v>600</v>
      </c>
      <c r="H3" s="33" t="s">
        <v>601</v>
      </c>
      <c r="I3" s="33" t="s">
        <v>602</v>
      </c>
      <c r="J3" s="36" t="s">
        <v>603</v>
      </c>
      <c r="K3" s="36" t="s">
        <v>604</v>
      </c>
      <c r="L3" s="36" t="s">
        <v>605</v>
      </c>
      <c r="N3" s="40" t="s">
        <v>606</v>
      </c>
      <c r="O3" s="40"/>
      <c r="P3" s="40"/>
      <c r="Q3" s="40"/>
      <c r="R3" s="40"/>
      <c r="S3" s="40"/>
      <c r="T3" s="41" t="s">
        <v>607</v>
      </c>
      <c r="V3" s="25" t="s">
        <v>608</v>
      </c>
      <c r="W3" s="26" t="s">
        <v>609</v>
      </c>
    </row>
    <row r="4" s="24" customFormat="1" ht="15" customHeight="1" spans="1:23">
      <c r="A4" s="42" t="s">
        <v>610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4"/>
      <c r="N4" s="45" t="s">
        <v>51</v>
      </c>
      <c r="O4" s="45" t="s">
        <v>72</v>
      </c>
      <c r="P4" s="45" t="s">
        <v>73</v>
      </c>
      <c r="Q4" s="45" t="s">
        <v>74</v>
      </c>
      <c r="R4" s="46" t="s">
        <v>75</v>
      </c>
      <c r="S4" s="45" t="s">
        <v>76</v>
      </c>
      <c r="T4" s="47" t="s">
        <v>611</v>
      </c>
      <c r="V4" s="25" t="s">
        <v>612</v>
      </c>
      <c r="W4" s="26" t="s">
        <v>613</v>
      </c>
    </row>
    <row r="5" s="24" customFormat="1" ht="15" customHeight="1" spans="1:23">
      <c r="A5" s="48" t="s">
        <v>614</v>
      </c>
      <c r="B5" s="49"/>
      <c r="C5" s="49"/>
      <c r="D5" s="50"/>
      <c r="E5" s="51"/>
      <c r="F5" s="51"/>
      <c r="G5" s="51"/>
      <c r="H5" s="52" t="s">
        <v>615</v>
      </c>
      <c r="I5" s="51"/>
      <c r="J5" s="53"/>
      <c r="K5" s="53"/>
      <c r="L5" s="53"/>
      <c r="N5" s="45" t="s">
        <v>57</v>
      </c>
      <c r="O5" s="45" t="s">
        <v>52</v>
      </c>
      <c r="P5" s="45" t="s">
        <v>77</v>
      </c>
      <c r="Q5" s="45" t="s">
        <v>78</v>
      </c>
      <c r="R5" s="46" t="s">
        <v>79</v>
      </c>
      <c r="S5" s="45" t="s">
        <v>76</v>
      </c>
      <c r="T5" s="47" t="s">
        <v>616</v>
      </c>
      <c r="V5" s="25" t="s">
        <v>617</v>
      </c>
      <c r="W5" s="26" t="s">
        <v>618</v>
      </c>
    </row>
    <row r="6" s="24" customFormat="1" ht="15" customHeight="1" spans="1:23">
      <c r="A6" s="48" t="s">
        <v>619</v>
      </c>
      <c r="B6" s="49"/>
      <c r="C6" s="49"/>
      <c r="D6" s="50"/>
      <c r="E6" s="52" t="s">
        <v>615</v>
      </c>
      <c r="F6" s="52" t="s">
        <v>615</v>
      </c>
      <c r="G6" s="52" t="s">
        <v>615</v>
      </c>
      <c r="H6" s="52" t="s">
        <v>615</v>
      </c>
      <c r="I6" s="52" t="s">
        <v>615</v>
      </c>
      <c r="J6" s="52" t="s">
        <v>615</v>
      </c>
      <c r="K6" s="52" t="s">
        <v>615</v>
      </c>
      <c r="L6" s="52" t="s">
        <v>615</v>
      </c>
      <c r="N6" s="45" t="s">
        <v>620</v>
      </c>
      <c r="O6" s="45" t="s">
        <v>87</v>
      </c>
      <c r="P6" s="45" t="s">
        <v>82</v>
      </c>
      <c r="Q6" s="45" t="s">
        <v>89</v>
      </c>
      <c r="R6" s="46" t="s">
        <v>90</v>
      </c>
      <c r="S6" s="45" t="s">
        <v>91</v>
      </c>
      <c r="T6" s="47" t="s">
        <v>621</v>
      </c>
      <c r="V6" s="25" t="s">
        <v>622</v>
      </c>
      <c r="W6" s="26" t="s">
        <v>623</v>
      </c>
    </row>
    <row r="7" s="24" customFormat="1" ht="15" customHeight="1" spans="1:23">
      <c r="A7" s="48" t="s">
        <v>624</v>
      </c>
      <c r="B7" s="49"/>
      <c r="C7" s="49"/>
      <c r="D7" s="50"/>
      <c r="E7" s="51"/>
      <c r="F7" s="51"/>
      <c r="G7" s="52" t="s">
        <v>615</v>
      </c>
      <c r="H7" s="52" t="s">
        <v>615</v>
      </c>
      <c r="I7" s="51"/>
      <c r="J7" s="52" t="s">
        <v>615</v>
      </c>
      <c r="K7" s="52" t="s">
        <v>615</v>
      </c>
      <c r="L7" s="52" t="s">
        <v>615</v>
      </c>
      <c r="N7" s="45" t="s">
        <v>86</v>
      </c>
      <c r="O7" s="45" t="s">
        <v>93</v>
      </c>
      <c r="P7" s="45" t="s">
        <v>625</v>
      </c>
      <c r="Q7" s="45" t="s">
        <v>95</v>
      </c>
      <c r="R7" s="46" t="s">
        <v>96</v>
      </c>
      <c r="S7" s="45" t="s">
        <v>91</v>
      </c>
      <c r="T7" s="47" t="s">
        <v>626</v>
      </c>
      <c r="V7" s="26" t="s">
        <v>627</v>
      </c>
      <c r="W7" s="26" t="s">
        <v>628</v>
      </c>
    </row>
    <row r="8" s="24" customFormat="1" ht="15" customHeight="1" spans="1:23">
      <c r="A8" s="48" t="s">
        <v>629</v>
      </c>
      <c r="B8" s="49"/>
      <c r="C8" s="49"/>
      <c r="D8" s="50"/>
      <c r="E8" s="51"/>
      <c r="F8" s="51"/>
      <c r="G8" s="51"/>
      <c r="H8" s="51"/>
      <c r="I8" s="51"/>
      <c r="J8" s="53"/>
      <c r="K8" s="52" t="s">
        <v>615</v>
      </c>
      <c r="L8" s="52" t="s">
        <v>615</v>
      </c>
      <c r="N8" s="45" t="s">
        <v>92</v>
      </c>
      <c r="O8" s="45" t="s">
        <v>58</v>
      </c>
      <c r="P8" s="45" t="s">
        <v>94</v>
      </c>
      <c r="Q8" s="45" t="s">
        <v>103</v>
      </c>
      <c r="R8" s="46" t="s">
        <v>104</v>
      </c>
      <c r="S8" s="45" t="s">
        <v>85</v>
      </c>
      <c r="T8" s="47" t="s">
        <v>630</v>
      </c>
      <c r="V8" s="54" t="s">
        <v>631</v>
      </c>
      <c r="W8" s="24" t="s">
        <v>632</v>
      </c>
    </row>
    <row r="9" s="24" customFormat="1" ht="15" customHeight="1" spans="1:23">
      <c r="A9" s="55" t="s">
        <v>633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N9" s="45" t="s">
        <v>97</v>
      </c>
      <c r="O9" s="45" t="s">
        <v>101</v>
      </c>
      <c r="P9" s="45" t="s">
        <v>98</v>
      </c>
      <c r="Q9" s="45" t="s">
        <v>108</v>
      </c>
      <c r="R9" s="46" t="s">
        <v>109</v>
      </c>
      <c r="S9" s="45"/>
      <c r="T9" s="47" t="s">
        <v>634</v>
      </c>
    </row>
    <row r="10" s="24" customFormat="1" ht="26.25" customHeight="1" spans="1:23">
      <c r="A10" s="48" t="s">
        <v>635</v>
      </c>
      <c r="B10" s="49"/>
      <c r="C10" s="49"/>
      <c r="D10" s="50"/>
      <c r="E10" s="52" t="s">
        <v>615</v>
      </c>
      <c r="F10" s="52" t="s">
        <v>615</v>
      </c>
      <c r="G10" s="52" t="s">
        <v>615</v>
      </c>
      <c r="H10" s="52" t="s">
        <v>615</v>
      </c>
      <c r="I10" s="52" t="s">
        <v>615</v>
      </c>
      <c r="J10" s="52" t="s">
        <v>615</v>
      </c>
      <c r="K10" s="52" t="s">
        <v>615</v>
      </c>
      <c r="L10" s="52" t="s">
        <v>615</v>
      </c>
      <c r="N10" s="45" t="s">
        <v>63</v>
      </c>
      <c r="O10" s="45" t="s">
        <v>111</v>
      </c>
      <c r="P10" s="56" t="s">
        <v>636</v>
      </c>
      <c r="Q10" s="45" t="s">
        <v>113</v>
      </c>
      <c r="R10" s="46" t="s">
        <v>114</v>
      </c>
      <c r="S10" s="45" t="s">
        <v>115</v>
      </c>
      <c r="T10" s="47" t="s">
        <v>637</v>
      </c>
    </row>
    <row r="11" s="24" customFormat="1" ht="26.25" customHeight="1" spans="1:23">
      <c r="A11" s="48" t="s">
        <v>638</v>
      </c>
      <c r="B11" s="49"/>
      <c r="C11" s="49"/>
      <c r="D11" s="50"/>
      <c r="E11" s="52" t="s">
        <v>615</v>
      </c>
      <c r="F11" s="52" t="s">
        <v>615</v>
      </c>
      <c r="G11" s="52" t="s">
        <v>615</v>
      </c>
      <c r="H11" s="52" t="s">
        <v>615</v>
      </c>
      <c r="I11" s="52" t="s">
        <v>615</v>
      </c>
      <c r="J11" s="52" t="s">
        <v>615</v>
      </c>
      <c r="K11" s="52" t="s">
        <v>615</v>
      </c>
      <c r="L11" s="52" t="s">
        <v>615</v>
      </c>
      <c r="N11" s="45" t="s">
        <v>110</v>
      </c>
      <c r="O11" s="45" t="s">
        <v>64</v>
      </c>
      <c r="P11" s="45" t="s">
        <v>102</v>
      </c>
      <c r="Q11" s="45" t="s">
        <v>118</v>
      </c>
      <c r="R11" s="46" t="s">
        <v>119</v>
      </c>
      <c r="S11" s="45" t="s">
        <v>120</v>
      </c>
      <c r="T11" s="47" t="s">
        <v>639</v>
      </c>
    </row>
    <row r="12" s="24" customFormat="1" ht="13" spans="1:23">
      <c r="A12" s="48" t="s">
        <v>640</v>
      </c>
      <c r="B12" s="49"/>
      <c r="C12" s="49"/>
      <c r="D12" s="50"/>
      <c r="E12" s="52" t="s">
        <v>615</v>
      </c>
      <c r="F12" s="52" t="s">
        <v>615</v>
      </c>
      <c r="G12" s="52" t="s">
        <v>615</v>
      </c>
      <c r="H12" s="52" t="s">
        <v>615</v>
      </c>
      <c r="I12" s="52" t="s">
        <v>615</v>
      </c>
      <c r="J12" s="52" t="s">
        <v>615</v>
      </c>
      <c r="K12" s="52" t="s">
        <v>615</v>
      </c>
      <c r="L12" s="52" t="s">
        <v>615</v>
      </c>
      <c r="N12" s="45" t="s">
        <v>116</v>
      </c>
      <c r="O12" s="45" t="s">
        <v>122</v>
      </c>
      <c r="P12" s="45" t="s">
        <v>107</v>
      </c>
      <c r="Q12" s="45" t="s">
        <v>124</v>
      </c>
      <c r="R12" s="46" t="s">
        <v>125</v>
      </c>
      <c r="S12" s="45" t="s">
        <v>120</v>
      </c>
      <c r="T12" s="47" t="s">
        <v>641</v>
      </c>
    </row>
    <row r="13" s="24" customFormat="1" ht="13" spans="1:23">
      <c r="A13" s="48" t="s">
        <v>642</v>
      </c>
      <c r="B13" s="49"/>
      <c r="C13" s="49"/>
      <c r="D13" s="50"/>
      <c r="E13" s="52" t="s">
        <v>615</v>
      </c>
      <c r="F13" s="52" t="s">
        <v>615</v>
      </c>
      <c r="G13" s="52" t="s">
        <v>615</v>
      </c>
      <c r="H13" s="52" t="s">
        <v>615</v>
      </c>
      <c r="I13" s="52" t="s">
        <v>615</v>
      </c>
      <c r="J13" s="52" t="s">
        <v>615</v>
      </c>
      <c r="K13" s="52" t="s">
        <v>615</v>
      </c>
      <c r="L13" s="52" t="s">
        <v>615</v>
      </c>
      <c r="N13" s="45" t="s">
        <v>121</v>
      </c>
      <c r="O13" s="45" t="s">
        <v>127</v>
      </c>
      <c r="P13" s="45" t="s">
        <v>112</v>
      </c>
      <c r="Q13" s="45" t="s">
        <v>129</v>
      </c>
      <c r="R13" s="46" t="s">
        <v>130</v>
      </c>
      <c r="S13" s="45" t="s">
        <v>120</v>
      </c>
      <c r="T13" s="47" t="s">
        <v>643</v>
      </c>
    </row>
    <row r="14" s="24" customFormat="1" ht="13" spans="1:23">
      <c r="A14" s="48" t="s">
        <v>644</v>
      </c>
      <c r="B14" s="49"/>
      <c r="C14" s="49"/>
      <c r="D14" s="50"/>
      <c r="E14" s="52" t="s">
        <v>615</v>
      </c>
      <c r="F14" s="52" t="s">
        <v>615</v>
      </c>
      <c r="G14" s="52" t="s">
        <v>615</v>
      </c>
      <c r="H14" s="52" t="s">
        <v>615</v>
      </c>
      <c r="I14" s="52" t="s">
        <v>615</v>
      </c>
      <c r="J14" s="52" t="s">
        <v>615</v>
      </c>
      <c r="K14" s="52" t="s">
        <v>615</v>
      </c>
      <c r="L14" s="52" t="s">
        <v>615</v>
      </c>
      <c r="N14" s="45" t="s">
        <v>126</v>
      </c>
      <c r="O14" s="45" t="s">
        <v>132</v>
      </c>
      <c r="P14" s="45" t="s">
        <v>117</v>
      </c>
      <c r="Q14" s="45" t="s">
        <v>134</v>
      </c>
      <c r="R14" s="46" t="s">
        <v>135</v>
      </c>
      <c r="S14" s="57"/>
      <c r="T14" s="47" t="s">
        <v>645</v>
      </c>
    </row>
    <row r="15" s="24" customFormat="1" ht="13" spans="1:23">
      <c r="A15" s="58" t="s">
        <v>646</v>
      </c>
      <c r="B15" s="58"/>
      <c r="C15" s="58"/>
      <c r="D15" s="58"/>
      <c r="E15" s="53"/>
      <c r="F15" s="52" t="s">
        <v>615</v>
      </c>
      <c r="G15" s="52" t="s">
        <v>615</v>
      </c>
      <c r="H15" s="52" t="s">
        <v>615</v>
      </c>
      <c r="I15" s="52" t="s">
        <v>615</v>
      </c>
      <c r="J15" s="52" t="s">
        <v>615</v>
      </c>
      <c r="K15" s="52" t="s">
        <v>615</v>
      </c>
      <c r="L15" s="52" t="s">
        <v>615</v>
      </c>
      <c r="N15" s="45" t="s">
        <v>131</v>
      </c>
      <c r="O15" s="45" t="s">
        <v>137</v>
      </c>
      <c r="P15" s="45" t="s">
        <v>123</v>
      </c>
      <c r="Q15" s="45" t="s">
        <v>139</v>
      </c>
      <c r="R15" s="46" t="s">
        <v>140</v>
      </c>
      <c r="S15" s="45" t="s">
        <v>141</v>
      </c>
      <c r="T15" s="47" t="s">
        <v>647</v>
      </c>
    </row>
    <row r="16" s="24" customFormat="1" ht="13" spans="1:23">
      <c r="A16" s="48" t="s">
        <v>648</v>
      </c>
      <c r="B16" s="49"/>
      <c r="C16" s="49"/>
      <c r="D16" s="50"/>
      <c r="E16" s="51"/>
      <c r="F16" s="52" t="s">
        <v>615</v>
      </c>
      <c r="G16" s="52" t="s">
        <v>615</v>
      </c>
      <c r="H16" s="52" t="s">
        <v>615</v>
      </c>
      <c r="I16" s="52" t="s">
        <v>615</v>
      </c>
      <c r="J16" s="52" t="s">
        <v>615</v>
      </c>
      <c r="K16" s="52" t="s">
        <v>615</v>
      </c>
      <c r="L16" s="52" t="s">
        <v>615</v>
      </c>
      <c r="N16" s="45" t="s">
        <v>136</v>
      </c>
      <c r="O16" s="45" t="s">
        <v>143</v>
      </c>
      <c r="P16" s="45" t="s">
        <v>128</v>
      </c>
      <c r="Q16" s="45" t="s">
        <v>145</v>
      </c>
      <c r="R16" s="46" t="s">
        <v>146</v>
      </c>
      <c r="S16" s="45" t="s">
        <v>91</v>
      </c>
      <c r="T16" s="59"/>
    </row>
    <row r="17" s="24" customFormat="1" ht="27.75" customHeight="1" spans="1:20">
      <c r="A17" s="48" t="s">
        <v>649</v>
      </c>
      <c r="B17" s="49"/>
      <c r="C17" s="49"/>
      <c r="D17" s="50"/>
      <c r="E17" s="51"/>
      <c r="F17" s="51"/>
      <c r="G17" s="52" t="s">
        <v>615</v>
      </c>
      <c r="H17" s="52" t="s">
        <v>615</v>
      </c>
      <c r="I17" s="52" t="s">
        <v>615</v>
      </c>
      <c r="J17" s="52" t="s">
        <v>615</v>
      </c>
      <c r="K17" s="52" t="s">
        <v>615</v>
      </c>
      <c r="L17" s="52" t="s">
        <v>615</v>
      </c>
      <c r="N17" s="45" t="s">
        <v>142</v>
      </c>
      <c r="O17" s="45" t="s">
        <v>148</v>
      </c>
      <c r="P17" s="45" t="s">
        <v>133</v>
      </c>
      <c r="Q17" s="45" t="s">
        <v>150</v>
      </c>
      <c r="R17" s="46" t="s">
        <v>151</v>
      </c>
      <c r="S17" s="45" t="s">
        <v>120</v>
      </c>
      <c r="T17" s="60"/>
    </row>
    <row r="18" s="24" customFormat="1" ht="13" spans="1:20">
      <c r="A18" s="48" t="s">
        <v>650</v>
      </c>
      <c r="B18" s="49"/>
      <c r="C18" s="49"/>
      <c r="D18" s="50"/>
      <c r="E18" s="51"/>
      <c r="F18" s="51"/>
      <c r="G18" s="51"/>
      <c r="H18" s="52" t="s">
        <v>615</v>
      </c>
      <c r="I18" s="52" t="s">
        <v>615</v>
      </c>
      <c r="J18" s="52" t="s">
        <v>615</v>
      </c>
      <c r="K18" s="52" t="s">
        <v>615</v>
      </c>
      <c r="L18" s="52" t="s">
        <v>615</v>
      </c>
      <c r="N18" s="45" t="s">
        <v>147</v>
      </c>
      <c r="O18" s="45" t="s">
        <v>153</v>
      </c>
      <c r="P18" s="45" t="s">
        <v>138</v>
      </c>
      <c r="Q18" s="45" t="s">
        <v>155</v>
      </c>
      <c r="R18" s="46" t="s">
        <v>156</v>
      </c>
      <c r="S18" s="45" t="s">
        <v>85</v>
      </c>
      <c r="T18" s="60"/>
    </row>
    <row r="19" s="24" customFormat="1" ht="13" spans="1:20">
      <c r="A19" s="48" t="s">
        <v>651</v>
      </c>
      <c r="B19" s="49"/>
      <c r="C19" s="49"/>
      <c r="D19" s="50"/>
      <c r="E19" s="51"/>
      <c r="F19" s="51"/>
      <c r="G19" s="51"/>
      <c r="H19" s="52" t="s">
        <v>615</v>
      </c>
      <c r="I19" s="52" t="s">
        <v>615</v>
      </c>
      <c r="J19" s="52" t="s">
        <v>615</v>
      </c>
      <c r="K19" s="52" t="s">
        <v>615</v>
      </c>
      <c r="L19" s="52" t="s">
        <v>615</v>
      </c>
      <c r="N19" s="45" t="s">
        <v>152</v>
      </c>
      <c r="O19" s="45" t="s">
        <v>158</v>
      </c>
      <c r="P19" s="45" t="s">
        <v>144</v>
      </c>
      <c r="Q19" s="45" t="s">
        <v>160</v>
      </c>
      <c r="R19" s="46" t="s">
        <v>161</v>
      </c>
      <c r="S19" s="45" t="s">
        <v>162</v>
      </c>
      <c r="T19" s="60"/>
    </row>
    <row r="20" s="24" customFormat="1" ht="13" spans="1:20">
      <c r="A20" s="48" t="s">
        <v>652</v>
      </c>
      <c r="B20" s="49"/>
      <c r="C20" s="49"/>
      <c r="D20" s="50"/>
      <c r="E20" s="51"/>
      <c r="F20" s="51"/>
      <c r="G20" s="51"/>
      <c r="H20" s="52" t="s">
        <v>615</v>
      </c>
      <c r="I20" s="52" t="s">
        <v>615</v>
      </c>
      <c r="J20" s="52" t="s">
        <v>615</v>
      </c>
      <c r="K20" s="52" t="s">
        <v>615</v>
      </c>
      <c r="L20" s="52" t="s">
        <v>615</v>
      </c>
      <c r="N20" s="45" t="s">
        <v>157</v>
      </c>
      <c r="O20" s="45" t="s">
        <v>164</v>
      </c>
      <c r="P20" s="45" t="s">
        <v>149</v>
      </c>
      <c r="Q20" s="45" t="s">
        <v>166</v>
      </c>
      <c r="R20" s="46" t="s">
        <v>167</v>
      </c>
      <c r="S20" s="45" t="s">
        <v>162</v>
      </c>
      <c r="T20" s="60"/>
    </row>
    <row r="21" s="24" customFormat="1" ht="13" spans="1:20">
      <c r="A21" s="48" t="s">
        <v>653</v>
      </c>
      <c r="B21" s="49"/>
      <c r="C21" s="49"/>
      <c r="D21" s="50"/>
      <c r="E21" s="51"/>
      <c r="F21" s="51"/>
      <c r="G21" s="51"/>
      <c r="H21" s="51"/>
      <c r="I21" s="52" t="s">
        <v>615</v>
      </c>
      <c r="J21" s="61"/>
      <c r="K21" s="61"/>
      <c r="L21" s="61"/>
      <c r="N21" s="45" t="s">
        <v>163</v>
      </c>
      <c r="O21" s="45" t="s">
        <v>169</v>
      </c>
      <c r="P21" s="45" t="s">
        <v>154</v>
      </c>
      <c r="Q21" s="45" t="s">
        <v>171</v>
      </c>
      <c r="R21" s="46" t="s">
        <v>172</v>
      </c>
      <c r="S21" s="45" t="s">
        <v>162</v>
      </c>
      <c r="T21" s="60"/>
    </row>
    <row r="22" s="24" customFormat="1" spans="1:20">
      <c r="A22" s="62" t="s">
        <v>654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4"/>
      <c r="N22" s="45" t="s">
        <v>168</v>
      </c>
      <c r="O22" s="57" t="s">
        <v>174</v>
      </c>
      <c r="P22" s="45" t="s">
        <v>159</v>
      </c>
      <c r="Q22" s="45" t="s">
        <v>176</v>
      </c>
      <c r="R22" s="46" t="s">
        <v>177</v>
      </c>
      <c r="S22" s="45" t="s">
        <v>162</v>
      </c>
      <c r="T22" s="60"/>
    </row>
    <row r="23" s="24" customFormat="1" spans="1:20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7"/>
      <c r="N23" s="45" t="s">
        <v>173</v>
      </c>
      <c r="O23" s="45" t="s">
        <v>179</v>
      </c>
      <c r="P23" s="45" t="s">
        <v>165</v>
      </c>
      <c r="Q23" s="45" t="s">
        <v>181</v>
      </c>
      <c r="R23" s="46" t="s">
        <v>182</v>
      </c>
      <c r="S23" s="45" t="s">
        <v>162</v>
      </c>
      <c r="T23" s="60"/>
    </row>
    <row r="24" s="24" customFormat="1" spans="1:20">
      <c r="A24" s="68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70"/>
      <c r="N24" s="71" t="s">
        <v>178</v>
      </c>
      <c r="O24" s="45" t="s">
        <v>184</v>
      </c>
      <c r="P24" s="45" t="s">
        <v>170</v>
      </c>
      <c r="Q24" s="45" t="s">
        <v>186</v>
      </c>
      <c r="R24" s="46" t="s">
        <v>187</v>
      </c>
      <c r="S24" s="45" t="s">
        <v>162</v>
      </c>
      <c r="T24" s="60"/>
    </row>
    <row r="25" spans="1:20">
      <c r="N25" s="45" t="s">
        <v>183</v>
      </c>
      <c r="O25" s="45" t="s">
        <v>189</v>
      </c>
      <c r="P25" s="45" t="s">
        <v>175</v>
      </c>
      <c r="Q25" s="45" t="s">
        <v>191</v>
      </c>
      <c r="R25" s="46" t="s">
        <v>192</v>
      </c>
      <c r="S25" s="45" t="s">
        <v>162</v>
      </c>
      <c r="T25" s="72"/>
    </row>
    <row r="26" s="6" customFormat="1" ht="20.15" customHeight="1" spans="1:20">
      <c r="A26" s="73" t="s">
        <v>655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5"/>
      <c r="N26" s="45" t="s">
        <v>656</v>
      </c>
      <c r="O26" s="45" t="s">
        <v>194</v>
      </c>
      <c r="P26" s="45" t="s">
        <v>180</v>
      </c>
      <c r="Q26" s="45" t="s">
        <v>196</v>
      </c>
      <c r="R26" s="46" t="s">
        <v>197</v>
      </c>
      <c r="S26" s="45" t="s">
        <v>162</v>
      </c>
      <c r="T26" s="76"/>
    </row>
    <row r="27" ht="21" customHeight="1" spans="1:20">
      <c r="A27" s="77" t="s">
        <v>657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9"/>
      <c r="N27" s="45" t="s">
        <v>658</v>
      </c>
      <c r="O27" s="45" t="s">
        <v>199</v>
      </c>
      <c r="P27" s="45" t="s">
        <v>185</v>
      </c>
      <c r="Q27" s="45" t="s">
        <v>201</v>
      </c>
      <c r="R27" s="46" t="s">
        <v>202</v>
      </c>
      <c r="S27" s="45" t="s">
        <v>162</v>
      </c>
      <c r="T27" s="72"/>
    </row>
    <row r="28" ht="12.75" customHeight="1" spans="1:20">
      <c r="A28" s="80" t="s">
        <v>659</v>
      </c>
      <c r="B28" s="81"/>
      <c r="C28" s="81"/>
      <c r="D28" s="82"/>
      <c r="E28" s="83" t="s">
        <v>660</v>
      </c>
      <c r="F28" s="83"/>
      <c r="G28" s="84" t="s">
        <v>661</v>
      </c>
      <c r="H28" s="84" t="s">
        <v>662</v>
      </c>
      <c r="I28" s="84"/>
      <c r="J28" s="84"/>
      <c r="K28" s="84" t="s">
        <v>663</v>
      </c>
      <c r="L28" s="84"/>
      <c r="N28" s="45" t="s">
        <v>188</v>
      </c>
      <c r="O28" s="45" t="s">
        <v>204</v>
      </c>
      <c r="P28" s="45" t="s">
        <v>190</v>
      </c>
      <c r="Q28" s="45" t="s">
        <v>206</v>
      </c>
      <c r="R28" s="46" t="s">
        <v>207</v>
      </c>
      <c r="S28" s="45" t="s">
        <v>162</v>
      </c>
      <c r="T28" s="72"/>
    </row>
    <row r="29" ht="13" spans="1:20">
      <c r="A29" s="85" t="s">
        <v>664</v>
      </c>
      <c r="B29" s="86"/>
      <c r="C29" s="86"/>
      <c r="D29" s="87"/>
      <c r="E29" s="88" t="s">
        <v>601</v>
      </c>
      <c r="F29" s="88"/>
      <c r="G29" s="61" t="s">
        <v>665</v>
      </c>
      <c r="H29" s="61" t="s">
        <v>666</v>
      </c>
      <c r="I29" s="61"/>
      <c r="J29" s="61"/>
      <c r="K29" s="61" t="s">
        <v>667</v>
      </c>
      <c r="L29" s="61"/>
      <c r="N29" s="45" t="s">
        <v>193</v>
      </c>
      <c r="O29" s="45" t="s">
        <v>209</v>
      </c>
      <c r="P29" s="45" t="s">
        <v>195</v>
      </c>
      <c r="Q29" s="45" t="s">
        <v>211</v>
      </c>
      <c r="R29" s="46" t="s">
        <v>212</v>
      </c>
      <c r="S29" s="45" t="s">
        <v>162</v>
      </c>
      <c r="T29" s="72"/>
    </row>
    <row r="30" ht="25.5" customHeight="1" spans="1:20">
      <c r="A30" s="85" t="s">
        <v>668</v>
      </c>
      <c r="B30" s="86"/>
      <c r="C30" s="86"/>
      <c r="D30" s="87"/>
      <c r="E30" s="88" t="s">
        <v>669</v>
      </c>
      <c r="F30" s="88"/>
      <c r="G30" s="61" t="s">
        <v>665</v>
      </c>
      <c r="H30" s="61"/>
      <c r="I30" s="61"/>
      <c r="J30" s="61"/>
      <c r="K30" s="61"/>
      <c r="L30" s="61"/>
      <c r="N30" s="45" t="s">
        <v>198</v>
      </c>
      <c r="O30" s="45" t="s">
        <v>214</v>
      </c>
      <c r="P30" s="45" t="s">
        <v>200</v>
      </c>
      <c r="Q30" s="45" t="s">
        <v>216</v>
      </c>
      <c r="R30" s="46" t="s">
        <v>217</v>
      </c>
      <c r="S30" s="45" t="s">
        <v>162</v>
      </c>
      <c r="T30" s="72"/>
    </row>
    <row r="31" ht="30" customHeight="1" spans="1:20">
      <c r="A31" s="85" t="s">
        <v>670</v>
      </c>
      <c r="B31" s="86"/>
      <c r="C31" s="86"/>
      <c r="D31" s="87"/>
      <c r="E31" s="88" t="s">
        <v>599</v>
      </c>
      <c r="F31" s="88"/>
      <c r="G31" s="61" t="s">
        <v>665</v>
      </c>
      <c r="H31" s="61"/>
      <c r="I31" s="61"/>
      <c r="J31" s="61"/>
      <c r="K31" s="61"/>
      <c r="L31" s="61"/>
      <c r="N31" s="45" t="s">
        <v>203</v>
      </c>
      <c r="O31" s="45" t="s">
        <v>219</v>
      </c>
      <c r="P31" s="45" t="s">
        <v>205</v>
      </c>
      <c r="Q31" s="45" t="s">
        <v>221</v>
      </c>
      <c r="R31" s="46" t="s">
        <v>222</v>
      </c>
      <c r="S31" s="45"/>
      <c r="T31" s="72"/>
    </row>
    <row r="32" ht="40" customHeight="1" spans="1:20">
      <c r="A32" s="85" t="s">
        <v>671</v>
      </c>
      <c r="B32" s="86"/>
      <c r="C32" s="86"/>
      <c r="D32" s="87"/>
      <c r="E32" s="88" t="s">
        <v>672</v>
      </c>
      <c r="F32" s="88"/>
      <c r="G32" s="61" t="s">
        <v>673</v>
      </c>
      <c r="H32" s="61" t="s">
        <v>674</v>
      </c>
      <c r="I32" s="61"/>
      <c r="J32" s="61"/>
      <c r="K32" s="61" t="s">
        <v>675</v>
      </c>
      <c r="L32" s="61"/>
      <c r="N32" s="45" t="s">
        <v>208</v>
      </c>
      <c r="O32" s="45" t="s">
        <v>224</v>
      </c>
      <c r="P32" s="45" t="s">
        <v>210</v>
      </c>
      <c r="Q32" s="45" t="s">
        <v>226</v>
      </c>
      <c r="R32" s="46" t="s">
        <v>227</v>
      </c>
      <c r="S32" s="45" t="s">
        <v>162</v>
      </c>
      <c r="T32" s="72"/>
    </row>
    <row r="33" ht="25.5" customHeight="1" spans="1:20">
      <c r="A33" s="85" t="s">
        <v>676</v>
      </c>
      <c r="B33" s="86"/>
      <c r="C33" s="86"/>
      <c r="D33" s="87"/>
      <c r="E33" s="88" t="s">
        <v>677</v>
      </c>
      <c r="F33" s="88"/>
      <c r="G33" s="61" t="s">
        <v>678</v>
      </c>
      <c r="H33" s="61" t="s">
        <v>679</v>
      </c>
      <c r="I33" s="61"/>
      <c r="J33" s="61"/>
      <c r="K33" s="61" t="s">
        <v>680</v>
      </c>
      <c r="L33" s="61"/>
      <c r="N33" s="45" t="s">
        <v>213</v>
      </c>
      <c r="O33" s="45" t="s">
        <v>229</v>
      </c>
      <c r="P33" s="45" t="s">
        <v>215</v>
      </c>
      <c r="Q33" s="45" t="s">
        <v>231</v>
      </c>
      <c r="R33" s="46" t="s">
        <v>232</v>
      </c>
      <c r="S33" s="45" t="s">
        <v>162</v>
      </c>
      <c r="T33" s="72"/>
    </row>
    <row r="34" ht="40" customHeight="1" spans="1:20">
      <c r="A34" s="85" t="s">
        <v>681</v>
      </c>
      <c r="B34" s="86"/>
      <c r="C34" s="86"/>
      <c r="D34" s="87"/>
      <c r="E34" s="88" t="s">
        <v>682</v>
      </c>
      <c r="F34" s="88"/>
      <c r="G34" s="61" t="s">
        <v>678</v>
      </c>
      <c r="H34" s="61" t="s">
        <v>683</v>
      </c>
      <c r="I34" s="61"/>
      <c r="J34" s="61"/>
      <c r="K34" s="61"/>
      <c r="L34" s="61"/>
      <c r="N34" s="45" t="s">
        <v>218</v>
      </c>
      <c r="O34" s="45" t="s">
        <v>684</v>
      </c>
      <c r="P34" s="45" t="s">
        <v>220</v>
      </c>
      <c r="Q34" s="45" t="s">
        <v>236</v>
      </c>
      <c r="R34" s="46" t="s">
        <v>237</v>
      </c>
      <c r="S34" s="45" t="s">
        <v>162</v>
      </c>
      <c r="T34" s="72"/>
    </row>
    <row r="35" ht="25.5" customHeight="1" spans="1:20">
      <c r="A35" s="85" t="s">
        <v>685</v>
      </c>
      <c r="B35" s="86"/>
      <c r="C35" s="86"/>
      <c r="D35" s="87"/>
      <c r="E35" s="88" t="s">
        <v>686</v>
      </c>
      <c r="F35" s="88"/>
      <c r="G35" s="61" t="s">
        <v>678</v>
      </c>
      <c r="H35" s="61" t="s">
        <v>687</v>
      </c>
      <c r="I35" s="61"/>
      <c r="J35" s="61"/>
      <c r="K35" s="61"/>
      <c r="L35" s="61"/>
      <c r="N35" s="45" t="s">
        <v>223</v>
      </c>
      <c r="O35" s="45" t="s">
        <v>234</v>
      </c>
      <c r="P35" s="45" t="s">
        <v>225</v>
      </c>
      <c r="Q35" s="45" t="s">
        <v>241</v>
      </c>
      <c r="R35" s="46" t="s">
        <v>242</v>
      </c>
      <c r="S35" s="45" t="s">
        <v>162</v>
      </c>
      <c r="T35" s="72"/>
    </row>
    <row r="36" ht="31.5" customHeight="1" spans="1:20">
      <c r="A36" s="85" t="s">
        <v>688</v>
      </c>
      <c r="B36" s="86"/>
      <c r="C36" s="86"/>
      <c r="D36" s="87"/>
      <c r="E36" s="88" t="s">
        <v>689</v>
      </c>
      <c r="F36" s="88"/>
      <c r="G36" s="61" t="s">
        <v>665</v>
      </c>
      <c r="H36" s="61" t="s">
        <v>690</v>
      </c>
      <c r="I36" s="61"/>
      <c r="J36" s="61"/>
      <c r="K36" s="61" t="s">
        <v>691</v>
      </c>
      <c r="L36" s="61"/>
      <c r="N36" s="45" t="s">
        <v>228</v>
      </c>
      <c r="O36" s="45" t="s">
        <v>239</v>
      </c>
      <c r="P36" s="45" t="s">
        <v>230</v>
      </c>
      <c r="Q36" s="45" t="s">
        <v>246</v>
      </c>
      <c r="R36" s="46" t="s">
        <v>247</v>
      </c>
      <c r="S36" s="45" t="s">
        <v>162</v>
      </c>
      <c r="T36" s="72"/>
    </row>
    <row r="37" ht="21" customHeight="1" spans="1:20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N37" s="45" t="s">
        <v>233</v>
      </c>
      <c r="O37" s="45" t="s">
        <v>244</v>
      </c>
      <c r="P37" s="45" t="s">
        <v>235</v>
      </c>
      <c r="Q37" s="71" t="s">
        <v>251</v>
      </c>
      <c r="R37" s="46" t="s">
        <v>252</v>
      </c>
      <c r="S37" s="45" t="s">
        <v>162</v>
      </c>
      <c r="T37" s="72"/>
    </row>
    <row r="38" ht="22.5" customHeight="1" spans="1:20">
      <c r="N38" s="45" t="s">
        <v>238</v>
      </c>
      <c r="O38" s="45" t="s">
        <v>249</v>
      </c>
      <c r="P38" s="45" t="s">
        <v>240</v>
      </c>
      <c r="Q38" s="45" t="s">
        <v>256</v>
      </c>
      <c r="R38" s="46" t="s">
        <v>257</v>
      </c>
      <c r="S38" s="45" t="s">
        <v>162</v>
      </c>
      <c r="T38" s="72"/>
    </row>
    <row r="39" spans="1:20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N39" s="45" t="s">
        <v>243</v>
      </c>
      <c r="O39" s="45" t="s">
        <v>254</v>
      </c>
      <c r="P39" s="45" t="s">
        <v>245</v>
      </c>
      <c r="Q39" s="45" t="s">
        <v>261</v>
      </c>
      <c r="R39" s="46" t="s">
        <v>262</v>
      </c>
      <c r="S39" s="45"/>
      <c r="T39" s="72"/>
    </row>
    <row r="40" spans="1:20">
      <c r="N40" s="45" t="s">
        <v>248</v>
      </c>
      <c r="O40" s="45" t="s">
        <v>259</v>
      </c>
      <c r="P40" s="45" t="s">
        <v>250</v>
      </c>
      <c r="Q40" s="45" t="s">
        <v>266</v>
      </c>
      <c r="R40" s="46" t="s">
        <v>267</v>
      </c>
      <c r="S40" s="45" t="s">
        <v>162</v>
      </c>
      <c r="T40" s="72"/>
    </row>
    <row r="41" spans="1:20">
      <c r="N41" s="45" t="s">
        <v>253</v>
      </c>
      <c r="O41" s="45" t="s">
        <v>264</v>
      </c>
      <c r="P41" s="45" t="s">
        <v>255</v>
      </c>
      <c r="Q41" s="45" t="s">
        <v>271</v>
      </c>
      <c r="R41" s="46" t="s">
        <v>272</v>
      </c>
      <c r="S41" s="45" t="s">
        <v>162</v>
      </c>
      <c r="T41" s="72"/>
    </row>
    <row r="42" spans="1:20">
      <c r="N42" s="45" t="s">
        <v>258</v>
      </c>
      <c r="O42" s="45" t="s">
        <v>269</v>
      </c>
      <c r="P42" s="45" t="s">
        <v>260</v>
      </c>
      <c r="Q42" s="45" t="s">
        <v>276</v>
      </c>
      <c r="R42" s="46" t="s">
        <v>277</v>
      </c>
      <c r="S42" s="45" t="s">
        <v>162</v>
      </c>
      <c r="T42" s="72"/>
    </row>
    <row r="43" spans="1:20">
      <c r="N43" s="45" t="s">
        <v>263</v>
      </c>
      <c r="O43" s="45" t="s">
        <v>274</v>
      </c>
      <c r="P43" s="45" t="s">
        <v>265</v>
      </c>
      <c r="Q43" s="45" t="s">
        <v>281</v>
      </c>
      <c r="R43" s="46" t="s">
        <v>282</v>
      </c>
      <c r="S43" s="45" t="s">
        <v>162</v>
      </c>
      <c r="T43" s="72"/>
    </row>
    <row r="44" spans="1:20">
      <c r="N44" s="45" t="s">
        <v>268</v>
      </c>
      <c r="O44" s="45" t="s">
        <v>279</v>
      </c>
      <c r="P44" s="45" t="s">
        <v>270</v>
      </c>
      <c r="Q44" s="45" t="s">
        <v>286</v>
      </c>
      <c r="R44" s="46" t="s">
        <v>287</v>
      </c>
      <c r="S44" s="45" t="s">
        <v>162</v>
      </c>
      <c r="T44" s="72"/>
    </row>
    <row r="45" spans="1:20">
      <c r="N45" s="45" t="s">
        <v>273</v>
      </c>
      <c r="O45" s="45" t="s">
        <v>284</v>
      </c>
      <c r="P45" s="56" t="s">
        <v>692</v>
      </c>
      <c r="Q45" s="45" t="s">
        <v>291</v>
      </c>
      <c r="R45" s="46" t="s">
        <v>292</v>
      </c>
      <c r="S45" s="45" t="s">
        <v>162</v>
      </c>
      <c r="T45" s="72"/>
    </row>
    <row r="46" spans="1:20">
      <c r="N46" s="45" t="s">
        <v>278</v>
      </c>
      <c r="O46" s="45" t="s">
        <v>289</v>
      </c>
      <c r="P46" s="45" t="s">
        <v>693</v>
      </c>
      <c r="Q46" s="45" t="s">
        <v>296</v>
      </c>
      <c r="R46" s="46" t="s">
        <v>297</v>
      </c>
      <c r="S46" s="45" t="s">
        <v>162</v>
      </c>
      <c r="T46" s="72"/>
    </row>
    <row r="47" spans="1:20">
      <c r="N47" s="45" t="s">
        <v>283</v>
      </c>
      <c r="O47" s="45" t="s">
        <v>294</v>
      </c>
      <c r="P47" s="45" t="s">
        <v>275</v>
      </c>
      <c r="Q47" s="45" t="s">
        <v>301</v>
      </c>
      <c r="R47" s="46" t="s">
        <v>302</v>
      </c>
      <c r="S47" s="45" t="s">
        <v>162</v>
      </c>
      <c r="T47" s="72"/>
    </row>
    <row r="48" spans="1:20">
      <c r="N48" s="45" t="s">
        <v>288</v>
      </c>
      <c r="O48" s="45" t="s">
        <v>299</v>
      </c>
      <c r="P48" s="45" t="s">
        <v>280</v>
      </c>
      <c r="Q48" s="45" t="s">
        <v>306</v>
      </c>
      <c r="R48" s="46" t="s">
        <v>307</v>
      </c>
      <c r="S48" s="45"/>
      <c r="T48" s="72"/>
    </row>
    <row r="49" spans="14:20">
      <c r="N49" s="45" t="s">
        <v>293</v>
      </c>
      <c r="O49" s="45" t="s">
        <v>304</v>
      </c>
      <c r="P49" s="45" t="s">
        <v>285</v>
      </c>
      <c r="Q49" s="45" t="s">
        <v>311</v>
      </c>
      <c r="R49" s="46" t="s">
        <v>312</v>
      </c>
      <c r="S49" s="45" t="s">
        <v>162</v>
      </c>
      <c r="T49" s="72"/>
    </row>
    <row r="50" spans="14:20">
      <c r="N50" s="45" t="s">
        <v>298</v>
      </c>
      <c r="O50" s="45" t="s">
        <v>309</v>
      </c>
      <c r="P50" s="45" t="s">
        <v>290</v>
      </c>
      <c r="Q50" s="45" t="s">
        <v>316</v>
      </c>
      <c r="R50" s="46" t="s">
        <v>317</v>
      </c>
      <c r="S50" s="45"/>
      <c r="T50" s="72"/>
    </row>
    <row r="51" spans="14:20">
      <c r="N51" s="45" t="s">
        <v>303</v>
      </c>
      <c r="O51" s="45" t="s">
        <v>314</v>
      </c>
      <c r="P51" s="45" t="s">
        <v>295</v>
      </c>
      <c r="Q51" s="45" t="s">
        <v>321</v>
      </c>
      <c r="R51" s="46" t="s">
        <v>322</v>
      </c>
      <c r="S51" s="45" t="s">
        <v>162</v>
      </c>
      <c r="T51" s="72"/>
    </row>
    <row r="52" ht="13" spans="14:20">
      <c r="N52" s="45" t="s">
        <v>308</v>
      </c>
      <c r="O52" s="45" t="s">
        <v>319</v>
      </c>
      <c r="P52" s="45" t="s">
        <v>694</v>
      </c>
      <c r="Q52" s="45" t="s">
        <v>326</v>
      </c>
      <c r="R52" s="46" t="s">
        <v>327</v>
      </c>
      <c r="S52" s="45" t="s">
        <v>162</v>
      </c>
      <c r="T52" s="72"/>
    </row>
    <row r="53" spans="14:20">
      <c r="N53" s="45" t="s">
        <v>313</v>
      </c>
      <c r="O53" s="45" t="s">
        <v>324</v>
      </c>
      <c r="P53" s="45" t="s">
        <v>305</v>
      </c>
      <c r="Q53" s="45" t="s">
        <v>331</v>
      </c>
      <c r="R53" s="46" t="s">
        <v>332</v>
      </c>
      <c r="S53" s="45" t="s">
        <v>162</v>
      </c>
      <c r="T53" s="72"/>
    </row>
    <row r="54" spans="14:20">
      <c r="N54" s="45" t="s">
        <v>318</v>
      </c>
      <c r="O54" s="45" t="s">
        <v>329</v>
      </c>
      <c r="P54" s="45" t="s">
        <v>310</v>
      </c>
      <c r="Q54" s="45" t="s">
        <v>336</v>
      </c>
      <c r="R54" s="46" t="s">
        <v>337</v>
      </c>
      <c r="S54" s="45" t="s">
        <v>162</v>
      </c>
      <c r="T54" s="72"/>
    </row>
    <row r="55" spans="14:20">
      <c r="N55" s="45" t="s">
        <v>323</v>
      </c>
      <c r="O55" s="45" t="s">
        <v>334</v>
      </c>
      <c r="P55" s="56" t="s">
        <v>695</v>
      </c>
      <c r="Q55" s="45" t="s">
        <v>696</v>
      </c>
      <c r="R55" s="46" t="s">
        <v>697</v>
      </c>
      <c r="S55" s="71"/>
      <c r="T55" s="72"/>
    </row>
    <row r="56" spans="14:20">
      <c r="N56" s="45" t="s">
        <v>328</v>
      </c>
      <c r="O56" s="45" t="s">
        <v>339</v>
      </c>
      <c r="P56" s="45" t="s">
        <v>315</v>
      </c>
      <c r="Q56" s="45" t="s">
        <v>341</v>
      </c>
      <c r="R56" s="46" t="s">
        <v>342</v>
      </c>
      <c r="S56" s="45" t="s">
        <v>162</v>
      </c>
      <c r="T56" s="72"/>
    </row>
    <row r="57" spans="14:20">
      <c r="N57" s="45" t="s">
        <v>333</v>
      </c>
      <c r="O57" s="71" t="s">
        <v>698</v>
      </c>
      <c r="P57" s="45" t="s">
        <v>320</v>
      </c>
      <c r="Q57" s="45" t="s">
        <v>346</v>
      </c>
      <c r="R57" s="46" t="s">
        <v>347</v>
      </c>
      <c r="S57" s="45" t="s">
        <v>162</v>
      </c>
      <c r="T57" s="72"/>
    </row>
    <row r="58" spans="14:20">
      <c r="N58" s="45" t="s">
        <v>338</v>
      </c>
      <c r="O58" s="45" t="s">
        <v>344</v>
      </c>
      <c r="P58" s="45" t="s">
        <v>325</v>
      </c>
      <c r="Q58" s="45" t="s">
        <v>351</v>
      </c>
      <c r="R58" s="46" t="s">
        <v>352</v>
      </c>
      <c r="S58" s="45" t="s">
        <v>162</v>
      </c>
      <c r="T58" s="72"/>
    </row>
    <row r="59" spans="14:20">
      <c r="N59" s="45" t="s">
        <v>343</v>
      </c>
      <c r="O59" s="45" t="s">
        <v>349</v>
      </c>
      <c r="P59" s="45" t="s">
        <v>330</v>
      </c>
      <c r="Q59" s="45" t="s">
        <v>356</v>
      </c>
      <c r="R59" s="46" t="s">
        <v>357</v>
      </c>
      <c r="S59" s="45" t="s">
        <v>162</v>
      </c>
      <c r="T59" s="72"/>
    </row>
    <row r="60" ht="13" spans="14:20">
      <c r="N60" s="45" t="s">
        <v>699</v>
      </c>
      <c r="O60" s="45" t="s">
        <v>354</v>
      </c>
      <c r="P60" s="45" t="s">
        <v>700</v>
      </c>
      <c r="Q60" s="45" t="s">
        <v>361</v>
      </c>
      <c r="R60" s="46" t="s">
        <v>362</v>
      </c>
      <c r="S60" s="45"/>
      <c r="T60" s="72"/>
    </row>
    <row r="61" spans="14:20">
      <c r="N61" s="45" t="s">
        <v>348</v>
      </c>
      <c r="O61" s="45" t="s">
        <v>359</v>
      </c>
      <c r="P61" s="45" t="s">
        <v>340</v>
      </c>
      <c r="Q61" s="45" t="s">
        <v>366</v>
      </c>
      <c r="R61" s="46" t="s">
        <v>367</v>
      </c>
      <c r="S61" s="45"/>
      <c r="T61" s="72"/>
    </row>
    <row r="62" spans="14:20">
      <c r="N62" s="45" t="s">
        <v>353</v>
      </c>
      <c r="O62" s="45" t="s">
        <v>364</v>
      </c>
      <c r="P62" s="45" t="s">
        <v>345</v>
      </c>
      <c r="Q62" s="45" t="s">
        <v>371</v>
      </c>
      <c r="R62" s="46" t="s">
        <v>372</v>
      </c>
      <c r="S62" s="45" t="s">
        <v>162</v>
      </c>
      <c r="T62" s="72"/>
    </row>
    <row r="63" spans="14:20">
      <c r="N63" s="45" t="s">
        <v>358</v>
      </c>
      <c r="O63" s="45" t="s">
        <v>369</v>
      </c>
      <c r="P63" s="45" t="s">
        <v>350</v>
      </c>
      <c r="Q63" s="45" t="s">
        <v>376</v>
      </c>
      <c r="R63" s="46" t="s">
        <v>377</v>
      </c>
      <c r="S63" s="45"/>
      <c r="T63" s="72"/>
    </row>
    <row r="64" spans="14:20">
      <c r="N64" s="45" t="s">
        <v>363</v>
      </c>
      <c r="O64" s="45" t="s">
        <v>374</v>
      </c>
      <c r="P64" s="45" t="s">
        <v>355</v>
      </c>
      <c r="Q64" s="45" t="s">
        <v>381</v>
      </c>
      <c r="R64" s="46" t="s">
        <v>382</v>
      </c>
      <c r="S64" s="45" t="s">
        <v>162</v>
      </c>
      <c r="T64" s="72"/>
    </row>
    <row r="65" spans="14:20">
      <c r="N65" s="45" t="s">
        <v>368</v>
      </c>
      <c r="O65" s="56" t="s">
        <v>701</v>
      </c>
      <c r="P65" s="45" t="s">
        <v>360</v>
      </c>
      <c r="Q65" s="45" t="s">
        <v>386</v>
      </c>
      <c r="R65" s="46" t="s">
        <v>387</v>
      </c>
      <c r="S65" s="45" t="s">
        <v>162</v>
      </c>
      <c r="T65" s="72"/>
    </row>
    <row r="66" ht="13" spans="14:20">
      <c r="N66" s="45" t="s">
        <v>373</v>
      </c>
      <c r="O66" s="45" t="s">
        <v>379</v>
      </c>
      <c r="P66" s="45" t="s">
        <v>702</v>
      </c>
      <c r="Q66" s="45" t="s">
        <v>391</v>
      </c>
      <c r="R66" s="46" t="s">
        <v>392</v>
      </c>
      <c r="S66" s="45"/>
      <c r="T66" s="72"/>
    </row>
    <row r="67" spans="14:20">
      <c r="N67" s="45" t="s">
        <v>378</v>
      </c>
      <c r="O67" s="45" t="s">
        <v>384</v>
      </c>
      <c r="P67" s="45" t="s">
        <v>370</v>
      </c>
      <c r="Q67" s="45" t="s">
        <v>396</v>
      </c>
      <c r="R67" s="46" t="s">
        <v>397</v>
      </c>
      <c r="S67" s="45" t="s">
        <v>162</v>
      </c>
      <c r="T67" s="72"/>
    </row>
    <row r="68" spans="14:20">
      <c r="N68" s="45" t="s">
        <v>383</v>
      </c>
      <c r="O68" s="45" t="s">
        <v>389</v>
      </c>
      <c r="P68" s="45" t="s">
        <v>375</v>
      </c>
      <c r="Q68" s="45" t="s">
        <v>401</v>
      </c>
      <c r="R68" s="46" t="s">
        <v>402</v>
      </c>
      <c r="S68" s="45" t="s">
        <v>162</v>
      </c>
      <c r="T68" s="72"/>
    </row>
    <row r="69" spans="14:20">
      <c r="N69" s="45" t="s">
        <v>388</v>
      </c>
      <c r="O69" s="45" t="s">
        <v>399</v>
      </c>
      <c r="P69" s="45" t="s">
        <v>380</v>
      </c>
      <c r="Q69" s="45" t="s">
        <v>703</v>
      </c>
      <c r="R69" s="46" t="s">
        <v>704</v>
      </c>
      <c r="S69" s="45" t="s">
        <v>85</v>
      </c>
      <c r="T69" s="72"/>
    </row>
    <row r="70" spans="14:20">
      <c r="N70" s="45" t="s">
        <v>393</v>
      </c>
      <c r="O70" s="45" t="s">
        <v>404</v>
      </c>
      <c r="P70" s="45" t="s">
        <v>385</v>
      </c>
      <c r="Q70" s="45" t="s">
        <v>705</v>
      </c>
      <c r="R70" s="46" t="s">
        <v>706</v>
      </c>
      <c r="S70" s="45" t="s">
        <v>115</v>
      </c>
      <c r="T70" s="72"/>
    </row>
    <row r="71" spans="14:20">
      <c r="N71" s="45" t="s">
        <v>398</v>
      </c>
      <c r="O71" s="45" t="s">
        <v>409</v>
      </c>
      <c r="P71" s="45" t="s">
        <v>390</v>
      </c>
      <c r="Q71" s="45" t="s">
        <v>406</v>
      </c>
      <c r="R71" s="46" t="s">
        <v>407</v>
      </c>
      <c r="S71" s="45" t="s">
        <v>162</v>
      </c>
      <c r="T71" s="72"/>
    </row>
    <row r="72" spans="14:20">
      <c r="N72" s="45" t="s">
        <v>403</v>
      </c>
      <c r="O72" s="45" t="s">
        <v>414</v>
      </c>
      <c r="P72" s="45" t="s">
        <v>395</v>
      </c>
      <c r="Q72" s="45" t="s">
        <v>411</v>
      </c>
      <c r="R72" s="46" t="s">
        <v>412</v>
      </c>
      <c r="S72" s="45" t="s">
        <v>162</v>
      </c>
      <c r="T72" s="72"/>
    </row>
    <row r="73" ht="13" spans="14:20">
      <c r="N73" s="45" t="s">
        <v>707</v>
      </c>
      <c r="O73" s="45" t="s">
        <v>419</v>
      </c>
      <c r="P73" s="45" t="s">
        <v>708</v>
      </c>
      <c r="Q73" s="45" t="s">
        <v>416</v>
      </c>
      <c r="R73" s="46" t="s">
        <v>417</v>
      </c>
      <c r="S73" s="45" t="s">
        <v>162</v>
      </c>
      <c r="T73" s="72"/>
    </row>
    <row r="74" spans="14:20">
      <c r="N74" s="45" t="s">
        <v>408</v>
      </c>
      <c r="O74" s="45" t="s">
        <v>424</v>
      </c>
      <c r="P74" s="45" t="s">
        <v>405</v>
      </c>
      <c r="Q74" s="45" t="s">
        <v>421</v>
      </c>
      <c r="R74" s="46" t="s">
        <v>422</v>
      </c>
      <c r="S74" s="45" t="s">
        <v>162</v>
      </c>
      <c r="T74" s="72"/>
    </row>
    <row r="75" spans="14:20">
      <c r="N75" s="45" t="s">
        <v>413</v>
      </c>
      <c r="O75" s="45" t="s">
        <v>709</v>
      </c>
      <c r="P75" s="45" t="s">
        <v>410</v>
      </c>
      <c r="Q75" s="45" t="s">
        <v>426</v>
      </c>
      <c r="R75" s="46" t="s">
        <v>427</v>
      </c>
      <c r="S75" s="45" t="s">
        <v>162</v>
      </c>
      <c r="T75" s="72"/>
    </row>
    <row r="76" spans="14:20">
      <c r="N76" s="45" t="s">
        <v>418</v>
      </c>
      <c r="O76" s="45" t="s">
        <v>429</v>
      </c>
      <c r="P76" s="56" t="s">
        <v>710</v>
      </c>
      <c r="Q76" s="45" t="s">
        <v>431</v>
      </c>
      <c r="R76" s="46" t="s">
        <v>432</v>
      </c>
      <c r="S76" s="45" t="s">
        <v>162</v>
      </c>
      <c r="T76" s="72"/>
    </row>
    <row r="77" spans="14:20">
      <c r="N77" s="45" t="s">
        <v>711</v>
      </c>
      <c r="O77" s="45" t="s">
        <v>434</v>
      </c>
      <c r="P77" s="45" t="s">
        <v>415</v>
      </c>
      <c r="Q77" s="45" t="s">
        <v>436</v>
      </c>
      <c r="R77" s="46" t="s">
        <v>437</v>
      </c>
      <c r="S77" s="45" t="s">
        <v>162</v>
      </c>
      <c r="T77" s="72"/>
    </row>
    <row r="78" ht="13" spans="14:20">
      <c r="N78" s="45" t="s">
        <v>423</v>
      </c>
      <c r="O78" s="45" t="s">
        <v>712</v>
      </c>
      <c r="P78" s="45" t="s">
        <v>713</v>
      </c>
      <c r="Q78" s="45" t="s">
        <v>441</v>
      </c>
      <c r="R78" s="46" t="s">
        <v>442</v>
      </c>
      <c r="S78" s="45" t="s">
        <v>162</v>
      </c>
      <c r="T78" s="72"/>
    </row>
    <row r="79" spans="14:20">
      <c r="N79" s="45" t="s">
        <v>428</v>
      </c>
      <c r="O79" s="45" t="s">
        <v>439</v>
      </c>
      <c r="P79" s="45" t="s">
        <v>425</v>
      </c>
      <c r="Q79" s="45" t="s">
        <v>714</v>
      </c>
      <c r="R79" s="46" t="s">
        <v>715</v>
      </c>
      <c r="S79" s="45" t="s">
        <v>162</v>
      </c>
      <c r="T79" s="72"/>
    </row>
    <row r="80" spans="14:20">
      <c r="N80" s="45" t="s">
        <v>433</v>
      </c>
      <c r="O80" s="45" t="s">
        <v>444</v>
      </c>
      <c r="P80" s="45" t="s">
        <v>430</v>
      </c>
      <c r="Q80" s="45" t="s">
        <v>446</v>
      </c>
      <c r="R80" s="46" t="s">
        <v>447</v>
      </c>
      <c r="S80" s="45" t="s">
        <v>162</v>
      </c>
      <c r="T80" s="72"/>
    </row>
    <row r="81" spans="14:20">
      <c r="N81" s="45" t="s">
        <v>438</v>
      </c>
      <c r="O81" s="45" t="s">
        <v>449</v>
      </c>
      <c r="P81" s="45" t="s">
        <v>435</v>
      </c>
      <c r="Q81" s="45" t="s">
        <v>451</v>
      </c>
      <c r="R81" s="46" t="s">
        <v>452</v>
      </c>
      <c r="S81" s="45" t="s">
        <v>162</v>
      </c>
      <c r="T81" s="72"/>
    </row>
    <row r="82" spans="14:20">
      <c r="N82" s="45" t="s">
        <v>443</v>
      </c>
      <c r="O82" s="45" t="s">
        <v>454</v>
      </c>
      <c r="P82" s="45" t="s">
        <v>440</v>
      </c>
      <c r="Q82" s="45" t="s">
        <v>456</v>
      </c>
      <c r="R82" s="46" t="s">
        <v>457</v>
      </c>
      <c r="S82" s="45" t="s">
        <v>162</v>
      </c>
      <c r="T82" s="72"/>
    </row>
    <row r="83" ht="13" spans="14:20">
      <c r="N83" s="45" t="s">
        <v>448</v>
      </c>
      <c r="O83" s="45" t="s">
        <v>459</v>
      </c>
      <c r="P83" s="45" t="s">
        <v>716</v>
      </c>
      <c r="Q83" s="45" t="s">
        <v>461</v>
      </c>
      <c r="R83" s="46" t="s">
        <v>462</v>
      </c>
      <c r="S83" s="45" t="s">
        <v>162</v>
      </c>
      <c r="T83" s="72"/>
    </row>
    <row r="84" spans="14:20">
      <c r="N84" s="45" t="s">
        <v>717</v>
      </c>
      <c r="O84" s="45" t="s">
        <v>464</v>
      </c>
      <c r="P84" s="45" t="s">
        <v>450</v>
      </c>
      <c r="Q84" s="45" t="s">
        <v>466</v>
      </c>
      <c r="R84" s="46" t="s">
        <v>467</v>
      </c>
      <c r="S84" s="45" t="s">
        <v>162</v>
      </c>
      <c r="T84" s="72"/>
    </row>
    <row r="85" spans="14:20">
      <c r="N85" s="45" t="s">
        <v>453</v>
      </c>
      <c r="O85" s="45" t="s">
        <v>469</v>
      </c>
      <c r="P85" s="56" t="s">
        <v>718</v>
      </c>
      <c r="Q85" s="45" t="s">
        <v>471</v>
      </c>
      <c r="R85" s="46" t="s">
        <v>472</v>
      </c>
      <c r="S85" s="45" t="s">
        <v>162</v>
      </c>
      <c r="T85" s="72"/>
    </row>
    <row r="86" spans="14:20">
      <c r="N86" s="45" t="s">
        <v>458</v>
      </c>
      <c r="O86" s="45" t="s">
        <v>474</v>
      </c>
      <c r="P86" s="45" t="s">
        <v>455</v>
      </c>
      <c r="Q86" s="45" t="s">
        <v>476</v>
      </c>
      <c r="R86" s="46" t="s">
        <v>477</v>
      </c>
      <c r="S86" s="45" t="s">
        <v>162</v>
      </c>
      <c r="T86" s="72"/>
    </row>
    <row r="87" spans="14:20">
      <c r="N87" s="45" t="s">
        <v>463</v>
      </c>
      <c r="O87" s="45" t="s">
        <v>479</v>
      </c>
      <c r="P87" s="45" t="s">
        <v>460</v>
      </c>
      <c r="Q87" s="45" t="s">
        <v>481</v>
      </c>
      <c r="R87" s="46" t="s">
        <v>482</v>
      </c>
      <c r="S87" s="45"/>
      <c r="T87" s="72"/>
    </row>
    <row r="88" spans="14:20">
      <c r="N88" s="45" t="s">
        <v>468</v>
      </c>
      <c r="O88" s="45" t="s">
        <v>484</v>
      </c>
      <c r="P88" s="45" t="s">
        <v>465</v>
      </c>
      <c r="Q88" s="45" t="s">
        <v>486</v>
      </c>
      <c r="R88" s="46" t="s">
        <v>487</v>
      </c>
      <c r="S88" s="45" t="s">
        <v>162</v>
      </c>
      <c r="T88" s="72"/>
    </row>
    <row r="89" spans="14:20">
      <c r="N89" s="45" t="s">
        <v>473</v>
      </c>
      <c r="O89" s="45" t="s">
        <v>489</v>
      </c>
      <c r="P89" s="45" t="s">
        <v>719</v>
      </c>
      <c r="Q89" s="45" t="s">
        <v>491</v>
      </c>
      <c r="R89" s="46" t="s">
        <v>492</v>
      </c>
      <c r="S89" s="45" t="s">
        <v>162</v>
      </c>
      <c r="T89" s="72"/>
    </row>
    <row r="90" spans="14:20">
      <c r="N90" s="45" t="s">
        <v>478</v>
      </c>
      <c r="O90" s="45" t="s">
        <v>494</v>
      </c>
      <c r="P90" s="45" t="s">
        <v>475</v>
      </c>
      <c r="Q90" s="45" t="s">
        <v>496</v>
      </c>
      <c r="R90" s="46" t="s">
        <v>497</v>
      </c>
      <c r="S90" s="45" t="s">
        <v>162</v>
      </c>
      <c r="T90" s="72"/>
    </row>
    <row r="91" spans="14:20">
      <c r="N91" s="45" t="s">
        <v>483</v>
      </c>
      <c r="O91" s="45" t="s">
        <v>499</v>
      </c>
      <c r="P91" s="45" t="s">
        <v>720</v>
      </c>
      <c r="Q91" s="45" t="s">
        <v>501</v>
      </c>
      <c r="R91" s="46" t="s">
        <v>502</v>
      </c>
      <c r="S91" s="45"/>
      <c r="T91" s="72"/>
    </row>
    <row r="92" spans="14:20">
      <c r="N92" s="45" t="s">
        <v>488</v>
      </c>
      <c r="O92" s="45" t="s">
        <v>504</v>
      </c>
      <c r="P92" s="45" t="s">
        <v>721</v>
      </c>
      <c r="Q92" s="45" t="s">
        <v>506</v>
      </c>
      <c r="R92" s="46" t="s">
        <v>507</v>
      </c>
      <c r="S92" s="45" t="s">
        <v>162</v>
      </c>
      <c r="T92" s="72"/>
    </row>
    <row r="93" spans="14:20">
      <c r="N93" s="45" t="s">
        <v>493</v>
      </c>
      <c r="O93" s="45" t="s">
        <v>509</v>
      </c>
      <c r="P93" s="45" t="s">
        <v>722</v>
      </c>
      <c r="Q93" s="45" t="s">
        <v>511</v>
      </c>
      <c r="R93" s="46" t="s">
        <v>512</v>
      </c>
      <c r="S93" s="45" t="s">
        <v>76</v>
      </c>
      <c r="T93" s="72"/>
    </row>
    <row r="94" spans="14:20">
      <c r="N94" s="45" t="s">
        <v>498</v>
      </c>
      <c r="O94" s="45"/>
      <c r="P94" s="45" t="s">
        <v>723</v>
      </c>
      <c r="Q94" s="45" t="s">
        <v>515</v>
      </c>
      <c r="R94" s="46" t="s">
        <v>516</v>
      </c>
      <c r="S94" s="45"/>
      <c r="T94" s="72"/>
    </row>
    <row r="95" spans="14:20">
      <c r="N95" s="45" t="s">
        <v>503</v>
      </c>
      <c r="O95" s="45"/>
      <c r="P95" s="45" t="s">
        <v>724</v>
      </c>
      <c r="Q95" s="45" t="s">
        <v>519</v>
      </c>
      <c r="R95" s="46" t="s">
        <v>520</v>
      </c>
      <c r="S95" s="45"/>
      <c r="T95" s="72"/>
    </row>
    <row r="96" spans="14:20">
      <c r="N96" s="45" t="s">
        <v>508</v>
      </c>
      <c r="O96" s="45"/>
      <c r="P96" s="45" t="s">
        <v>480</v>
      </c>
      <c r="Q96" s="45" t="s">
        <v>522</v>
      </c>
      <c r="R96" s="46" t="s">
        <v>523</v>
      </c>
      <c r="S96" s="45" t="s">
        <v>85</v>
      </c>
      <c r="T96" s="72"/>
    </row>
    <row r="97" ht="13" spans="14:20">
      <c r="N97" s="45" t="s">
        <v>513</v>
      </c>
      <c r="O97" s="45"/>
      <c r="P97" s="45" t="s">
        <v>725</v>
      </c>
      <c r="Q97" s="45" t="s">
        <v>525</v>
      </c>
      <c r="R97" s="46" t="s">
        <v>526</v>
      </c>
      <c r="S97" s="45"/>
      <c r="T97" s="72"/>
    </row>
    <row r="98" spans="14:20">
      <c r="N98" s="45" t="s">
        <v>517</v>
      </c>
      <c r="O98" s="45"/>
      <c r="P98" s="45" t="s">
        <v>490</v>
      </c>
      <c r="Q98" s="45" t="s">
        <v>528</v>
      </c>
      <c r="R98" s="46" t="s">
        <v>529</v>
      </c>
      <c r="S98" s="45"/>
      <c r="T98" s="45"/>
    </row>
    <row r="99" spans="14:20">
      <c r="N99" s="45"/>
      <c r="O99" s="45"/>
      <c r="P99" s="45" t="s">
        <v>495</v>
      </c>
      <c r="Q99" s="45" t="s">
        <v>531</v>
      </c>
      <c r="R99" s="46" t="s">
        <v>532</v>
      </c>
      <c r="S99" s="45"/>
      <c r="T99" s="45"/>
    </row>
    <row r="100" spans="14:20">
      <c r="N100" s="45"/>
      <c r="O100" s="45"/>
      <c r="P100" s="45" t="s">
        <v>500</v>
      </c>
      <c r="Q100" s="45" t="s">
        <v>534</v>
      </c>
      <c r="R100" s="46" t="s">
        <v>535</v>
      </c>
      <c r="S100" s="45" t="s">
        <v>76</v>
      </c>
      <c r="T100" s="45"/>
    </row>
    <row r="101" ht="13" spans="14:20">
      <c r="N101" s="45"/>
      <c r="O101" s="71"/>
      <c r="P101" s="45" t="s">
        <v>726</v>
      </c>
      <c r="Q101" s="45" t="s">
        <v>537</v>
      </c>
      <c r="R101" s="46" t="s">
        <v>538</v>
      </c>
      <c r="S101" s="45" t="s">
        <v>85</v>
      </c>
      <c r="T101" s="45"/>
    </row>
    <row r="102" spans="14:20">
      <c r="N102" s="45"/>
      <c r="O102" s="45"/>
      <c r="P102" s="45" t="s">
        <v>510</v>
      </c>
      <c r="Q102" s="45" t="s">
        <v>540</v>
      </c>
      <c r="R102" s="46" t="s">
        <v>541</v>
      </c>
      <c r="S102" s="45" t="s">
        <v>115</v>
      </c>
      <c r="T102" s="45"/>
    </row>
    <row r="103" spans="14:20">
      <c r="N103" s="45"/>
      <c r="O103" s="45"/>
      <c r="P103" s="45" t="s">
        <v>514</v>
      </c>
      <c r="Q103" s="45" t="s">
        <v>543</v>
      </c>
      <c r="R103" s="46" t="s">
        <v>544</v>
      </c>
      <c r="S103" s="45" t="s">
        <v>162</v>
      </c>
      <c r="T103" s="45"/>
    </row>
    <row r="104" spans="14:20">
      <c r="N104" s="45"/>
      <c r="O104" s="45"/>
      <c r="P104" s="45" t="s">
        <v>518</v>
      </c>
      <c r="Q104" s="45" t="s">
        <v>546</v>
      </c>
      <c r="R104" s="46" t="s">
        <v>547</v>
      </c>
      <c r="S104" s="45" t="s">
        <v>76</v>
      </c>
      <c r="T104" s="45"/>
    </row>
    <row r="105" spans="14:20">
      <c r="N105" s="45"/>
      <c r="O105" s="45"/>
      <c r="P105" s="45" t="s">
        <v>521</v>
      </c>
      <c r="Q105" s="45" t="s">
        <v>546</v>
      </c>
      <c r="R105" s="46" t="s">
        <v>549</v>
      </c>
      <c r="S105" s="45" t="s">
        <v>85</v>
      </c>
      <c r="T105" s="45"/>
    </row>
    <row r="106" spans="14:20">
      <c r="N106" s="45"/>
      <c r="O106" s="45"/>
      <c r="P106" s="45" t="s">
        <v>524</v>
      </c>
      <c r="Q106" s="45" t="s">
        <v>546</v>
      </c>
      <c r="R106" s="46" t="s">
        <v>551</v>
      </c>
      <c r="S106" s="45" t="s">
        <v>115</v>
      </c>
      <c r="T106" s="45"/>
    </row>
    <row r="107" ht="13" spans="14:20">
      <c r="N107" s="45"/>
      <c r="O107" s="45"/>
      <c r="P107" s="45" t="s">
        <v>727</v>
      </c>
      <c r="Q107" s="45" t="s">
        <v>546</v>
      </c>
      <c r="R107" s="46" t="s">
        <v>553</v>
      </c>
      <c r="S107" s="45" t="s">
        <v>162</v>
      </c>
      <c r="T107" s="45"/>
    </row>
    <row r="108" spans="14:20">
      <c r="N108" s="45"/>
      <c r="O108" s="45"/>
      <c r="P108" s="45" t="s">
        <v>530</v>
      </c>
      <c r="Q108" s="45" t="s">
        <v>555</v>
      </c>
      <c r="R108" s="46" t="s">
        <v>556</v>
      </c>
      <c r="S108" s="45" t="s">
        <v>76</v>
      </c>
      <c r="T108" s="45"/>
    </row>
    <row r="109" spans="14:20">
      <c r="N109" s="45"/>
      <c r="O109" s="45"/>
      <c r="P109" s="45" t="s">
        <v>533</v>
      </c>
      <c r="Q109" s="45" t="s">
        <v>555</v>
      </c>
      <c r="R109" s="46" t="s">
        <v>558</v>
      </c>
      <c r="S109" s="45" t="s">
        <v>85</v>
      </c>
      <c r="T109" s="45"/>
    </row>
    <row r="110" spans="14:20">
      <c r="N110" s="45"/>
      <c r="O110" s="45"/>
      <c r="P110" s="45" t="s">
        <v>536</v>
      </c>
      <c r="Q110" s="45" t="s">
        <v>555</v>
      </c>
      <c r="R110" s="46" t="s">
        <v>560</v>
      </c>
      <c r="S110" s="45" t="s">
        <v>115</v>
      </c>
      <c r="T110" s="45"/>
    </row>
    <row r="111" spans="14:20">
      <c r="N111" s="45"/>
      <c r="O111" s="45"/>
      <c r="P111" s="45" t="s">
        <v>539</v>
      </c>
      <c r="Q111" s="45" t="s">
        <v>555</v>
      </c>
      <c r="R111" s="46" t="s">
        <v>562</v>
      </c>
      <c r="S111" s="45" t="s">
        <v>91</v>
      </c>
      <c r="T111" s="45"/>
    </row>
    <row r="112" spans="14:20">
      <c r="N112" s="45"/>
      <c r="O112" s="45"/>
      <c r="P112" s="45" t="s">
        <v>542</v>
      </c>
      <c r="Q112" s="45" t="s">
        <v>564</v>
      </c>
      <c r="R112" s="46" t="s">
        <v>565</v>
      </c>
      <c r="S112" s="45" t="s">
        <v>76</v>
      </c>
      <c r="T112" s="45"/>
    </row>
    <row r="113" ht="13" spans="14:20">
      <c r="N113" s="45"/>
      <c r="O113" s="45"/>
      <c r="P113" s="45" t="s">
        <v>728</v>
      </c>
      <c r="Q113" s="45" t="s">
        <v>564</v>
      </c>
      <c r="R113" s="46" t="s">
        <v>567</v>
      </c>
      <c r="S113" s="45" t="s">
        <v>85</v>
      </c>
      <c r="T113" s="45"/>
    </row>
    <row r="114" spans="14:20">
      <c r="N114" s="45"/>
      <c r="O114" s="45"/>
      <c r="P114" s="45" t="s">
        <v>548</v>
      </c>
      <c r="Q114" s="45" t="s">
        <v>564</v>
      </c>
      <c r="R114" s="46" t="s">
        <v>568</v>
      </c>
      <c r="S114" s="45" t="s">
        <v>115</v>
      </c>
      <c r="T114" s="45"/>
    </row>
    <row r="115" spans="14:20">
      <c r="N115" s="45"/>
      <c r="O115" s="45"/>
      <c r="P115" s="45" t="s">
        <v>550</v>
      </c>
      <c r="Q115" s="45" t="s">
        <v>564</v>
      </c>
      <c r="R115" s="46" t="s">
        <v>569</v>
      </c>
      <c r="S115" s="45" t="s">
        <v>162</v>
      </c>
      <c r="T115" s="45"/>
    </row>
    <row r="116" spans="14:20">
      <c r="N116" s="45"/>
      <c r="O116" s="45"/>
      <c r="P116" s="45" t="s">
        <v>552</v>
      </c>
      <c r="Q116" s="45" t="s">
        <v>570</v>
      </c>
      <c r="R116" s="46" t="s">
        <v>571</v>
      </c>
      <c r="S116" s="45" t="s">
        <v>76</v>
      </c>
      <c r="T116" s="45"/>
    </row>
    <row r="117" spans="14:20">
      <c r="N117" s="45"/>
      <c r="O117" s="45"/>
      <c r="P117" s="45" t="s">
        <v>554</v>
      </c>
      <c r="Q117" s="45" t="s">
        <v>570</v>
      </c>
      <c r="R117" s="46" t="s">
        <v>572</v>
      </c>
      <c r="S117" s="45" t="s">
        <v>85</v>
      </c>
      <c r="T117" s="45"/>
    </row>
    <row r="118" spans="14:20">
      <c r="N118" s="45"/>
      <c r="O118" s="91"/>
      <c r="P118" s="45" t="s">
        <v>557</v>
      </c>
      <c r="Q118" s="45" t="s">
        <v>570</v>
      </c>
      <c r="R118" s="46" t="s">
        <v>573</v>
      </c>
      <c r="S118" s="45" t="s">
        <v>115</v>
      </c>
      <c r="T118" s="45"/>
    </row>
    <row r="119" ht="13" spans="14:20">
      <c r="N119" s="45"/>
      <c r="O119" s="91"/>
      <c r="P119" s="45" t="s">
        <v>729</v>
      </c>
      <c r="Q119" s="45" t="s">
        <v>570</v>
      </c>
      <c r="R119" s="46" t="s">
        <v>574</v>
      </c>
      <c r="S119" s="45" t="s">
        <v>91</v>
      </c>
      <c r="T119" s="45"/>
    </row>
    <row r="120" spans="14:20">
      <c r="N120" s="45"/>
      <c r="O120" s="91"/>
      <c r="P120" s="45" t="s">
        <v>561</v>
      </c>
      <c r="Q120" s="92" t="s">
        <v>575</v>
      </c>
      <c r="R120" s="46" t="s">
        <v>576</v>
      </c>
      <c r="S120" s="45" t="s">
        <v>76</v>
      </c>
      <c r="T120" s="45"/>
    </row>
    <row r="121" spans="14:20">
      <c r="N121" s="45"/>
      <c r="O121" s="91"/>
      <c r="P121" s="45" t="s">
        <v>563</v>
      </c>
      <c r="Q121" s="92" t="s">
        <v>575</v>
      </c>
      <c r="R121" s="46" t="s">
        <v>577</v>
      </c>
      <c r="S121" s="45" t="s">
        <v>85</v>
      </c>
      <c r="T121" s="45"/>
    </row>
    <row r="122" spans="14:20">
      <c r="N122" s="45"/>
      <c r="O122" s="91"/>
      <c r="P122" s="56" t="s">
        <v>730</v>
      </c>
      <c r="Q122" s="92" t="s">
        <v>575</v>
      </c>
      <c r="R122" s="46" t="s">
        <v>578</v>
      </c>
      <c r="S122" s="45" t="s">
        <v>115</v>
      </c>
      <c r="T122" s="45"/>
    </row>
    <row r="123" spans="14:20">
      <c r="N123" s="45"/>
      <c r="O123" s="45"/>
      <c r="P123" s="93" t="s">
        <v>566</v>
      </c>
      <c r="Q123" s="92" t="s">
        <v>575</v>
      </c>
      <c r="R123" s="46" t="s">
        <v>579</v>
      </c>
      <c r="S123" s="45" t="s">
        <v>91</v>
      </c>
      <c r="T123" s="45"/>
    </row>
    <row r="124" spans="14:20">
      <c r="N124" s="45"/>
      <c r="O124" s="45"/>
      <c r="P124" s="45"/>
      <c r="Q124" s="92" t="s">
        <v>580</v>
      </c>
      <c r="R124" s="46" t="s">
        <v>581</v>
      </c>
      <c r="S124" s="45" t="s">
        <v>76</v>
      </c>
      <c r="T124" s="45"/>
    </row>
    <row r="125" spans="14:20">
      <c r="N125" s="45"/>
      <c r="O125" s="45"/>
      <c r="P125" s="45"/>
      <c r="Q125" s="45" t="s">
        <v>580</v>
      </c>
      <c r="R125" s="46" t="s">
        <v>582</v>
      </c>
      <c r="S125" s="45" t="s">
        <v>85</v>
      </c>
      <c r="T125" s="92"/>
    </row>
    <row r="126" spans="14:20">
      <c r="N126" s="45"/>
      <c r="O126" s="45"/>
      <c r="P126" s="45"/>
      <c r="Q126" s="45" t="s">
        <v>580</v>
      </c>
      <c r="R126" s="46" t="s">
        <v>583</v>
      </c>
      <c r="S126" s="45" t="s">
        <v>115</v>
      </c>
      <c r="T126" s="92"/>
    </row>
    <row r="127" spans="14:20">
      <c r="N127" s="45"/>
      <c r="O127" s="45"/>
      <c r="P127" s="45"/>
      <c r="Q127" s="93" t="s">
        <v>580</v>
      </c>
      <c r="R127" s="94" t="s">
        <v>584</v>
      </c>
      <c r="S127" s="93" t="s">
        <v>91</v>
      </c>
      <c r="T127" s="92"/>
    </row>
    <row r="128" spans="14:20">
      <c r="N128" s="45"/>
      <c r="O128" s="45"/>
      <c r="P128" s="45"/>
      <c r="Q128" s="45" t="s">
        <v>731</v>
      </c>
      <c r="R128" s="46" t="s">
        <v>732</v>
      </c>
      <c r="S128" s="45"/>
      <c r="T128" s="92"/>
    </row>
    <row r="129" spans="14:20">
      <c r="N129" s="45"/>
      <c r="O129" s="45"/>
      <c r="P129" s="45"/>
      <c r="Q129" s="45" t="s">
        <v>733</v>
      </c>
      <c r="R129" s="46" t="s">
        <v>734</v>
      </c>
      <c r="S129" s="45"/>
      <c r="T129" s="92"/>
    </row>
  </sheetData>
  <mergeCells count="58">
    <mergeCell ref="A1:L1"/>
    <mergeCell ref="N1:S1"/>
    <mergeCell ref="V1:W1"/>
    <mergeCell ref="E2:L2"/>
    <mergeCell ref="N3:S3"/>
    <mergeCell ref="A4:L4"/>
    <mergeCell ref="A5:D5"/>
    <mergeCell ref="A6:D6"/>
    <mergeCell ref="A7:D7"/>
    <mergeCell ref="A8:D8"/>
    <mergeCell ref="A9:L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6:L26"/>
    <mergeCell ref="A27:L27"/>
    <mergeCell ref="A28:D28"/>
    <mergeCell ref="E28:F28"/>
    <mergeCell ref="H28:J28"/>
    <mergeCell ref="K28:L28"/>
    <mergeCell ref="A29:D29"/>
    <mergeCell ref="E29:F29"/>
    <mergeCell ref="A30:D30"/>
    <mergeCell ref="E30:F30"/>
    <mergeCell ref="A31:D31"/>
    <mergeCell ref="E31:F31"/>
    <mergeCell ref="A32:D32"/>
    <mergeCell ref="E32:F32"/>
    <mergeCell ref="H32:J32"/>
    <mergeCell ref="K32:L32"/>
    <mergeCell ref="A33:D33"/>
    <mergeCell ref="E33:F33"/>
    <mergeCell ref="H33:J33"/>
    <mergeCell ref="A34:D34"/>
    <mergeCell ref="E34:F34"/>
    <mergeCell ref="H34:J34"/>
    <mergeCell ref="A35:D35"/>
    <mergeCell ref="E35:F35"/>
    <mergeCell ref="H35:J35"/>
    <mergeCell ref="A36:D36"/>
    <mergeCell ref="E36:F36"/>
    <mergeCell ref="H36:J36"/>
    <mergeCell ref="K36:L36"/>
    <mergeCell ref="A37:L37"/>
    <mergeCell ref="K33:L35"/>
    <mergeCell ref="H29:J31"/>
    <mergeCell ref="K29:L31"/>
    <mergeCell ref="A22:L24"/>
    <mergeCell ref="A2:D3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workbookViewId="0">
      <selection activeCell="F42" sqref="F42"/>
    </sheetView>
  </sheetViews>
  <sheetFormatPr defaultColWidth="9" defaultRowHeight="15.5"/>
  <cols>
    <col min="1" max="1" width="12" style="6" customWidth="1"/>
    <col min="2" max="2" width="11.5833333333333" style="6" customWidth="1"/>
    <col min="3" max="3" width="48.3333333333333" style="6" customWidth="1"/>
    <col min="4" max="4" width="7.58333333333333" style="6" customWidth="1"/>
    <col min="5" max="5" width="9" style="6"/>
    <col min="6" max="6" width="12.5833333333333" style="6" customWidth="1"/>
    <col min="7" max="7" width="11" style="6" customWidth="1"/>
    <col min="8" max="8" width="9" style="6"/>
    <col min="9" max="10" width="12.0833333333333" style="6" customWidth="1"/>
    <col min="11" max="11" width="19.3333333333333" style="6" customWidth="1"/>
    <col min="12" max="16384" width="9" style="6"/>
  </cols>
  <sheetData>
    <row r="1" spans="1:11">
      <c r="A1" s="7" t="s">
        <v>735</v>
      </c>
    </row>
    <row r="2" ht="26" spans="1:11">
      <c r="A2" s="8" t="s">
        <v>736</v>
      </c>
      <c r="B2" s="9" t="s">
        <v>35</v>
      </c>
      <c r="C2" s="9" t="s">
        <v>36</v>
      </c>
      <c r="D2" s="9" t="s">
        <v>37</v>
      </c>
      <c r="E2" s="9" t="s">
        <v>38</v>
      </c>
      <c r="F2" s="9" t="s">
        <v>737</v>
      </c>
      <c r="G2" s="9" t="s">
        <v>40</v>
      </c>
      <c r="H2" s="9" t="s">
        <v>41</v>
      </c>
      <c r="I2" s="9" t="s">
        <v>42</v>
      </c>
      <c r="J2" s="9" t="s">
        <v>43</v>
      </c>
      <c r="K2" s="9" t="s">
        <v>44</v>
      </c>
    </row>
    <row r="3" spans="1:11">
      <c r="A3" s="10" t="s">
        <v>47</v>
      </c>
      <c r="B3" s="11" t="s">
        <v>738</v>
      </c>
      <c r="C3" s="12" t="s">
        <v>739</v>
      </c>
      <c r="D3" s="13">
        <f t="array" ref="D3">LEN(C3)-SUM((LEN(C3)-LEN(SUBSTITUTE(C3,修饰名称!E:E,修饰名称!F:F))))</f>
        <v>20</v>
      </c>
      <c r="E3" s="11">
        <v>1</v>
      </c>
      <c r="F3" s="14">
        <v>2</v>
      </c>
      <c r="G3" s="15" t="s">
        <v>50</v>
      </c>
      <c r="H3" s="16"/>
      <c r="I3" s="17"/>
      <c r="J3" s="17"/>
      <c r="K3" s="17"/>
    </row>
    <row r="4" spans="1:11">
      <c r="A4" s="10" t="s">
        <v>54</v>
      </c>
      <c r="B4" s="11" t="s">
        <v>740</v>
      </c>
      <c r="C4" s="12" t="s">
        <v>741</v>
      </c>
      <c r="D4" s="13">
        <f t="array" ref="D4">LEN(C4)-SUM((LEN(C4)-LEN(SUBSTITUTE(C4,修饰名称!E:E,修饰名称!F:F))))</f>
        <v>20</v>
      </c>
      <c r="E4" s="11">
        <v>1</v>
      </c>
      <c r="F4" s="14">
        <v>5</v>
      </c>
      <c r="G4" s="15" t="s">
        <v>600</v>
      </c>
      <c r="H4" s="16"/>
      <c r="I4" s="17"/>
      <c r="J4" s="17"/>
      <c r="K4" s="17"/>
    </row>
    <row r="5" spans="1:11">
      <c r="A5" s="10" t="s">
        <v>60</v>
      </c>
      <c r="B5" s="11" t="s">
        <v>742</v>
      </c>
      <c r="C5" s="12" t="s">
        <v>743</v>
      </c>
      <c r="D5" s="13">
        <f t="array" ref="D5">LEN(C5)-SUM((LEN(C5)-LEN(SUBSTITUTE(C5,修饰名称!E:E,修饰名称!F:F))))</f>
        <v>20</v>
      </c>
      <c r="E5" s="11">
        <v>1</v>
      </c>
      <c r="F5" s="14">
        <v>10</v>
      </c>
      <c r="G5" s="15" t="s">
        <v>601</v>
      </c>
      <c r="H5" s="16"/>
      <c r="I5" s="17"/>
      <c r="J5" s="17"/>
      <c r="K5" s="17"/>
    </row>
    <row r="6" spans="1:11">
      <c r="A6" s="10" t="s">
        <v>744</v>
      </c>
      <c r="B6" s="11" t="s">
        <v>745</v>
      </c>
      <c r="C6" s="12" t="s">
        <v>746</v>
      </c>
      <c r="D6" s="13">
        <f t="array" ref="D6">LEN(C6)-SUM((LEN(C6)-LEN(SUBSTITUTE(C6,修饰名称!E:E,修饰名称!F:F))))</f>
        <v>20</v>
      </c>
      <c r="E6" s="11">
        <v>1</v>
      </c>
      <c r="F6" s="14">
        <v>2</v>
      </c>
      <c r="G6" s="15" t="s">
        <v>603</v>
      </c>
      <c r="H6" s="16"/>
      <c r="I6" s="17"/>
      <c r="J6" s="17"/>
      <c r="K6" s="17"/>
    </row>
    <row r="7" spans="1:11">
      <c r="A7" s="10" t="s">
        <v>747</v>
      </c>
      <c r="B7" s="11" t="s">
        <v>748</v>
      </c>
      <c r="C7" s="12" t="s">
        <v>749</v>
      </c>
      <c r="D7" s="13">
        <f t="array" ref="D7">LEN(C7)-SUM((LEN(C7)-LEN(SUBSTITUTE(C7,修饰名称!E:E,修饰名称!F:F))))</f>
        <v>20</v>
      </c>
      <c r="E7" s="11">
        <v>1</v>
      </c>
      <c r="F7" s="14">
        <v>5</v>
      </c>
      <c r="G7" s="15" t="s">
        <v>604</v>
      </c>
      <c r="H7" s="16"/>
      <c r="I7" s="17"/>
      <c r="J7" s="17"/>
      <c r="K7" s="17"/>
    </row>
    <row r="9" spans="1:11">
      <c r="A9" s="7" t="s">
        <v>750</v>
      </c>
    </row>
    <row r="10" ht="26" spans="1:11">
      <c r="A10" s="8" t="s">
        <v>736</v>
      </c>
      <c r="B10" s="9" t="s">
        <v>35</v>
      </c>
      <c r="C10" s="9" t="s">
        <v>36</v>
      </c>
      <c r="D10" s="9" t="s">
        <v>37</v>
      </c>
      <c r="E10" s="9" t="s">
        <v>38</v>
      </c>
      <c r="F10" s="9" t="s">
        <v>737</v>
      </c>
      <c r="G10" s="9" t="s">
        <v>40</v>
      </c>
      <c r="H10" s="9" t="s">
        <v>41</v>
      </c>
      <c r="I10" s="9" t="s">
        <v>42</v>
      </c>
      <c r="J10" s="9" t="s">
        <v>43</v>
      </c>
      <c r="K10" s="9" t="s">
        <v>44</v>
      </c>
    </row>
    <row r="11" spans="1:11">
      <c r="A11" s="10" t="s">
        <v>47</v>
      </c>
      <c r="B11" s="11" t="s">
        <v>738</v>
      </c>
      <c r="C11" s="12" t="s">
        <v>739</v>
      </c>
      <c r="D11" s="13">
        <f t="array" ref="D11">LEN(C11)-SUM((LEN(C11)-LEN(SUBSTITUTE(C11,修饰名称!E:E,修饰名称!F:F))))</f>
        <v>20</v>
      </c>
      <c r="E11" s="11">
        <v>1</v>
      </c>
      <c r="F11" s="11"/>
      <c r="G11" s="15" t="s">
        <v>50</v>
      </c>
      <c r="H11" s="14">
        <v>10</v>
      </c>
      <c r="I11" s="17"/>
      <c r="J11" s="17"/>
      <c r="K11" s="17"/>
    </row>
    <row r="12" spans="1:11">
      <c r="A12" s="10" t="s">
        <v>54</v>
      </c>
      <c r="B12" s="11" t="s">
        <v>740</v>
      </c>
      <c r="C12" s="12" t="s">
        <v>741</v>
      </c>
      <c r="D12" s="13">
        <f t="array" ref="D12">LEN(C12)-SUM((LEN(C12)-LEN(SUBSTITUTE(C12,修饰名称!E:E,修饰名称!F:F))))</f>
        <v>20</v>
      </c>
      <c r="E12" s="11">
        <v>1</v>
      </c>
      <c r="F12" s="11"/>
      <c r="G12" s="15" t="s">
        <v>600</v>
      </c>
      <c r="H12" s="14">
        <v>25</v>
      </c>
      <c r="I12" s="17"/>
      <c r="J12" s="17"/>
      <c r="K12" s="17"/>
    </row>
    <row r="13" spans="1:11">
      <c r="A13" s="10" t="s">
        <v>60</v>
      </c>
      <c r="B13" s="11" t="s">
        <v>742</v>
      </c>
      <c r="C13" s="12" t="s">
        <v>743</v>
      </c>
      <c r="D13" s="13">
        <f t="array" ref="D13">LEN(C13)-SUM((LEN(C13)-LEN(SUBSTITUTE(C13,修饰名称!E:E,修饰名称!F:F))))</f>
        <v>20</v>
      </c>
      <c r="E13" s="11">
        <v>1</v>
      </c>
      <c r="F13" s="11"/>
      <c r="G13" s="15" t="s">
        <v>601</v>
      </c>
      <c r="H13" s="14">
        <v>50</v>
      </c>
      <c r="I13" s="17"/>
      <c r="J13" s="17"/>
      <c r="K13" s="17"/>
    </row>
    <row r="14" spans="1:11">
      <c r="A14" s="10" t="s">
        <v>744</v>
      </c>
      <c r="B14" s="11" t="s">
        <v>745</v>
      </c>
      <c r="C14" s="12" t="s">
        <v>746</v>
      </c>
      <c r="D14" s="13">
        <f t="array" ref="D14">LEN(C14)-SUM((LEN(C14)-LEN(SUBSTITUTE(C14,修饰名称!E:E,修饰名称!F:F))))</f>
        <v>20</v>
      </c>
      <c r="E14" s="11">
        <v>1</v>
      </c>
      <c r="F14" s="18"/>
      <c r="G14" s="15" t="s">
        <v>603</v>
      </c>
      <c r="H14" s="14">
        <v>10</v>
      </c>
      <c r="I14" s="17"/>
      <c r="J14" s="17"/>
      <c r="K14" s="17"/>
    </row>
    <row r="15" spans="1:11">
      <c r="A15" s="10" t="s">
        <v>747</v>
      </c>
      <c r="B15" s="11" t="s">
        <v>748</v>
      </c>
      <c r="C15" s="12" t="s">
        <v>749</v>
      </c>
      <c r="D15" s="13">
        <f t="array" ref="D15">LEN(C15)-SUM((LEN(C15)-LEN(SUBSTITUTE(C15,修饰名称!E:E,修饰名称!F:F))))</f>
        <v>20</v>
      </c>
      <c r="E15" s="11">
        <v>1</v>
      </c>
      <c r="F15" s="18"/>
      <c r="G15" s="15" t="s">
        <v>604</v>
      </c>
      <c r="H15" s="14">
        <v>25</v>
      </c>
      <c r="I15" s="17"/>
      <c r="J15" s="17"/>
      <c r="K15" s="17"/>
    </row>
    <row r="17" spans="1:11">
      <c r="A17" s="7" t="s">
        <v>751</v>
      </c>
    </row>
    <row r="18" ht="26" spans="1:11">
      <c r="A18" s="8" t="s">
        <v>736</v>
      </c>
      <c r="B18" s="9" t="s">
        <v>35</v>
      </c>
      <c r="C18" s="9" t="s">
        <v>36</v>
      </c>
      <c r="D18" s="9" t="s">
        <v>37</v>
      </c>
      <c r="E18" s="9" t="s">
        <v>38</v>
      </c>
      <c r="F18" s="9" t="s">
        <v>737</v>
      </c>
      <c r="G18" s="9" t="s">
        <v>40</v>
      </c>
      <c r="H18" s="9" t="s">
        <v>41</v>
      </c>
      <c r="I18" s="9" t="s">
        <v>42</v>
      </c>
      <c r="J18" s="9" t="s">
        <v>43</v>
      </c>
      <c r="K18" s="9" t="s">
        <v>44</v>
      </c>
    </row>
    <row r="19" spans="1:11">
      <c r="A19" s="10" t="s">
        <v>47</v>
      </c>
      <c r="B19" s="11" t="s">
        <v>738</v>
      </c>
      <c r="C19" s="12" t="s">
        <v>739</v>
      </c>
      <c r="D19" s="13">
        <f t="array" ref="D19">LEN(C19)-SUM((LEN(C19)-LEN(SUBSTITUTE(C19,修饰名称!E:E,修饰名称!F:F))))</f>
        <v>20</v>
      </c>
      <c r="E19" s="11">
        <v>1</v>
      </c>
      <c r="F19" s="11">
        <v>2</v>
      </c>
      <c r="G19" s="15" t="s">
        <v>601</v>
      </c>
      <c r="H19" s="11"/>
      <c r="I19" s="19" t="s">
        <v>51</v>
      </c>
      <c r="J19" s="17"/>
      <c r="K19" s="17"/>
    </row>
    <row r="20" spans="1:11">
      <c r="A20" s="10" t="s">
        <v>54</v>
      </c>
      <c r="B20" s="11" t="s">
        <v>740</v>
      </c>
      <c r="C20" s="12" t="s">
        <v>741</v>
      </c>
      <c r="D20" s="13">
        <f t="array" ref="D20">LEN(C20)-SUM((LEN(C20)-LEN(SUBSTITUTE(C20,修饰名称!E:E,修饰名称!F:F))))</f>
        <v>20</v>
      </c>
      <c r="E20" s="11">
        <v>1</v>
      </c>
      <c r="F20" s="11">
        <v>5</v>
      </c>
      <c r="G20" s="15" t="s">
        <v>601</v>
      </c>
      <c r="H20" s="11"/>
      <c r="I20" s="19" t="s">
        <v>208</v>
      </c>
      <c r="J20" s="17"/>
      <c r="K20" s="17"/>
    </row>
    <row r="21" spans="1:11">
      <c r="A21" s="10" t="s">
        <v>60</v>
      </c>
      <c r="B21" s="11" t="s">
        <v>742</v>
      </c>
      <c r="C21" s="12" t="s">
        <v>743</v>
      </c>
      <c r="D21" s="13">
        <f t="array" ref="D21">LEN(C21)-SUM((LEN(C21)-LEN(SUBSTITUTE(C21,修饰名称!E:E,修饰名称!F:F))))</f>
        <v>20</v>
      </c>
      <c r="E21" s="11">
        <v>1</v>
      </c>
      <c r="F21" s="11">
        <v>10</v>
      </c>
      <c r="G21" s="15" t="s">
        <v>601</v>
      </c>
      <c r="H21" s="11"/>
      <c r="I21" s="19" t="s">
        <v>388</v>
      </c>
      <c r="J21" s="17"/>
      <c r="K21" s="17"/>
    </row>
    <row r="23" spans="1:11">
      <c r="A23" s="7" t="s">
        <v>752</v>
      </c>
    </row>
    <row r="24" ht="26" spans="1:11">
      <c r="A24" s="8" t="s">
        <v>736</v>
      </c>
      <c r="B24" s="9" t="s">
        <v>35</v>
      </c>
      <c r="C24" s="9" t="s">
        <v>36</v>
      </c>
      <c r="D24" s="9" t="s">
        <v>37</v>
      </c>
      <c r="E24" s="9" t="s">
        <v>38</v>
      </c>
      <c r="F24" s="9" t="s">
        <v>737</v>
      </c>
      <c r="G24" s="9" t="s">
        <v>40</v>
      </c>
      <c r="H24" s="9" t="s">
        <v>41</v>
      </c>
      <c r="I24" s="9" t="s">
        <v>42</v>
      </c>
      <c r="J24" s="9" t="s">
        <v>43</v>
      </c>
      <c r="K24" s="9" t="s">
        <v>44</v>
      </c>
    </row>
    <row r="25" spans="1:11">
      <c r="A25" s="10" t="s">
        <v>47</v>
      </c>
      <c r="B25" s="11" t="s">
        <v>738</v>
      </c>
      <c r="C25" s="12" t="s">
        <v>739</v>
      </c>
      <c r="D25" s="13">
        <f t="array" ref="D25">LEN(C25)-SUM((LEN(C25)-LEN(SUBSTITUTE(C25,修饰名称!E:E,修饰名称!F:F))))</f>
        <v>20</v>
      </c>
      <c r="E25" s="11">
        <v>1</v>
      </c>
      <c r="F25" s="11">
        <v>2</v>
      </c>
      <c r="G25" s="15" t="s">
        <v>601</v>
      </c>
      <c r="H25" s="11"/>
      <c r="I25" s="20"/>
      <c r="J25" s="19" t="s">
        <v>399</v>
      </c>
      <c r="K25" s="17"/>
    </row>
    <row r="26" spans="1:11">
      <c r="A26" s="10" t="s">
        <v>54</v>
      </c>
      <c r="B26" s="11" t="s">
        <v>740</v>
      </c>
      <c r="C26" s="12" t="s">
        <v>741</v>
      </c>
      <c r="D26" s="13">
        <f t="array" ref="D26">LEN(C26)-SUM((LEN(C26)-LEN(SUBSTITUTE(C26,修饰名称!E:E,修饰名称!F:F))))</f>
        <v>20</v>
      </c>
      <c r="E26" s="11">
        <v>1</v>
      </c>
      <c r="F26" s="11">
        <v>5</v>
      </c>
      <c r="G26" s="15" t="s">
        <v>601</v>
      </c>
      <c r="H26" s="11"/>
      <c r="I26" s="20"/>
      <c r="J26" s="19" t="s">
        <v>299</v>
      </c>
      <c r="K26" s="17"/>
    </row>
    <row r="27" spans="1:11">
      <c r="A27" s="10" t="s">
        <v>60</v>
      </c>
      <c r="B27" s="11" t="s">
        <v>742</v>
      </c>
      <c r="C27" s="12" t="s">
        <v>743</v>
      </c>
      <c r="D27" s="13">
        <f t="array" ref="D27">LEN(C27)-SUM((LEN(C27)-LEN(SUBSTITUTE(C27,修饰名称!E:E,修饰名称!F:F))))</f>
        <v>20</v>
      </c>
      <c r="E27" s="11">
        <v>1</v>
      </c>
      <c r="F27" s="11">
        <v>10</v>
      </c>
      <c r="G27" s="15" t="s">
        <v>601</v>
      </c>
      <c r="H27" s="11"/>
      <c r="I27" s="20"/>
      <c r="J27" s="19" t="s">
        <v>459</v>
      </c>
      <c r="K27" s="17"/>
    </row>
    <row r="29" spans="1:11">
      <c r="A29" s="7" t="s">
        <v>753</v>
      </c>
    </row>
    <row r="30" ht="26" spans="1:11">
      <c r="A30" s="8" t="s">
        <v>736</v>
      </c>
      <c r="B30" s="9" t="s">
        <v>35</v>
      </c>
      <c r="C30" s="9" t="s">
        <v>36</v>
      </c>
      <c r="D30" s="9" t="s">
        <v>37</v>
      </c>
      <c r="E30" s="9" t="s">
        <v>38</v>
      </c>
      <c r="F30" s="9" t="s">
        <v>737</v>
      </c>
      <c r="G30" s="9" t="s">
        <v>40</v>
      </c>
      <c r="H30" s="9" t="s">
        <v>41</v>
      </c>
      <c r="I30" s="9" t="s">
        <v>42</v>
      </c>
      <c r="J30" s="9" t="s">
        <v>43</v>
      </c>
      <c r="K30" s="9" t="s">
        <v>44</v>
      </c>
    </row>
    <row r="31" spans="1:11">
      <c r="A31" s="10" t="s">
        <v>47</v>
      </c>
      <c r="B31" s="11" t="s">
        <v>738</v>
      </c>
      <c r="C31" s="12" t="s">
        <v>739</v>
      </c>
      <c r="D31" s="13">
        <f t="array" ref="D31">LEN(C31)-SUM((LEN(C31)-LEN(SUBSTITUTE(C31,修饰名称!E:E,修饰名称!F:F))))</f>
        <v>20</v>
      </c>
      <c r="E31" s="11">
        <v>1</v>
      </c>
      <c r="F31" s="11">
        <v>2</v>
      </c>
      <c r="G31" s="15" t="s">
        <v>601</v>
      </c>
      <c r="H31" s="11"/>
      <c r="I31" s="17"/>
      <c r="J31" s="17"/>
      <c r="K31" s="19" t="s">
        <v>73</v>
      </c>
    </row>
    <row r="32" spans="1:11">
      <c r="A32" s="10" t="s">
        <v>54</v>
      </c>
      <c r="B32" s="11" t="s">
        <v>740</v>
      </c>
      <c r="C32" s="12" t="s">
        <v>741</v>
      </c>
      <c r="D32" s="13">
        <f t="array" ref="D32">LEN(C32)-SUM((LEN(C32)-LEN(SUBSTITUTE(C32,修饰名称!E:E,修饰名称!F:F))))</f>
        <v>20</v>
      </c>
      <c r="E32" s="11">
        <v>1</v>
      </c>
      <c r="F32" s="11">
        <v>5</v>
      </c>
      <c r="G32" s="15" t="s">
        <v>601</v>
      </c>
      <c r="H32" s="11"/>
      <c r="I32" s="17"/>
      <c r="J32" s="17"/>
      <c r="K32" s="19" t="s">
        <v>285</v>
      </c>
    </row>
    <row r="33" spans="1:11">
      <c r="A33" s="10" t="s">
        <v>60</v>
      </c>
      <c r="B33" s="11" t="s">
        <v>742</v>
      </c>
      <c r="C33" s="12" t="s">
        <v>743</v>
      </c>
      <c r="D33" s="13">
        <f t="array" ref="D33">LEN(C33)-SUM((LEN(C33)-LEN(SUBSTITUTE(C33,修饰名称!E:E,修饰名称!F:F))))</f>
        <v>20</v>
      </c>
      <c r="E33" s="11">
        <v>1</v>
      </c>
      <c r="F33" s="11">
        <v>10</v>
      </c>
      <c r="G33" s="15" t="s">
        <v>601</v>
      </c>
      <c r="H33" s="11"/>
      <c r="I33" s="17"/>
      <c r="J33" s="17"/>
      <c r="K33" s="19" t="s">
        <v>250</v>
      </c>
    </row>
    <row r="35" spans="1:11">
      <c r="A35" s="7" t="s">
        <v>754</v>
      </c>
    </row>
    <row r="36" ht="26" spans="1:11">
      <c r="A36" s="8" t="s">
        <v>736</v>
      </c>
      <c r="B36" s="9" t="s">
        <v>35</v>
      </c>
      <c r="C36" s="9" t="s">
        <v>36</v>
      </c>
      <c r="D36" s="9" t="s">
        <v>37</v>
      </c>
      <c r="E36" s="9" t="s">
        <v>38</v>
      </c>
      <c r="F36" s="9" t="s">
        <v>737</v>
      </c>
      <c r="G36" s="9" t="s">
        <v>40</v>
      </c>
      <c r="H36" s="9" t="s">
        <v>41</v>
      </c>
      <c r="I36" s="9" t="s">
        <v>42</v>
      </c>
      <c r="J36" s="9" t="s">
        <v>43</v>
      </c>
      <c r="K36" s="9" t="s">
        <v>44</v>
      </c>
    </row>
    <row r="37" spans="1:11">
      <c r="A37" s="10" t="s">
        <v>47</v>
      </c>
      <c r="B37" s="11" t="s">
        <v>738</v>
      </c>
      <c r="C37" s="21" t="s">
        <v>755</v>
      </c>
      <c r="D37" s="13">
        <f t="array" ref="D37">LEN(C37)-SUM((LEN(C37)-LEN(SUBSTITUTE(C37,修饰名称!E:E,修饰名称!F:F))))</f>
        <v>19</v>
      </c>
      <c r="E37" s="11">
        <v>1</v>
      </c>
      <c r="F37" s="11">
        <v>2</v>
      </c>
      <c r="G37" s="15" t="s">
        <v>601</v>
      </c>
      <c r="H37" s="16"/>
      <c r="I37" s="17"/>
      <c r="J37" s="17"/>
      <c r="K37" s="20"/>
    </row>
    <row r="38" spans="1:11">
      <c r="A38" s="10" t="s">
        <v>54</v>
      </c>
      <c r="B38" s="11" t="s">
        <v>740</v>
      </c>
      <c r="C38" s="21" t="s">
        <v>756</v>
      </c>
      <c r="D38" s="13">
        <f t="array" ref="D38">LEN(C38)-SUM((LEN(C38)-LEN(SUBSTITUTE(C38,修饰名称!E:E,修饰名称!F:F))))</f>
        <v>20</v>
      </c>
      <c r="E38" s="11">
        <v>1</v>
      </c>
      <c r="F38" s="11">
        <v>5</v>
      </c>
      <c r="G38" s="15" t="s">
        <v>601</v>
      </c>
      <c r="H38" s="16"/>
      <c r="I38" s="17"/>
      <c r="J38" s="17"/>
      <c r="K38" s="20"/>
    </row>
    <row r="39" ht="25" spans="1:11">
      <c r="A39" s="10" t="s">
        <v>60</v>
      </c>
      <c r="B39" s="11" t="s">
        <v>742</v>
      </c>
      <c r="C39" s="22" t="s">
        <v>757</v>
      </c>
      <c r="D39" s="13">
        <f t="array" ref="D39">LEN(C39)-SUM((LEN(C39)-LEN(SUBSTITUTE(C39,修饰名称!E:E,修饰名称!F:F))))</f>
        <v>20</v>
      </c>
      <c r="E39" s="11">
        <v>1</v>
      </c>
      <c r="F39" s="11">
        <v>10</v>
      </c>
      <c r="G39" s="15" t="s">
        <v>601</v>
      </c>
      <c r="H39" s="16"/>
      <c r="I39" s="17"/>
      <c r="J39" s="17"/>
      <c r="K39" s="20"/>
    </row>
    <row r="41" spans="1:11">
      <c r="A41" s="23" t="s">
        <v>758</v>
      </c>
    </row>
  </sheetData>
  <dataValidations count="7">
    <dataValidation allowBlank="1" showInputMessage="1" showErrorMessage="1" promptTitle="记入请别做" sqref="A2:A7 A10:A15 A18:A21 A24:A27 A30:A33 A36:A39"/>
    <dataValidation allowBlank="1" showInputMessage="1" showErrorMessage="1" promptTitle="填写说明" prompt="请给定每个Oligo一个唯一的名称，为方便检索。" sqref="B3:B7 B11:B15 B19:B21 B25:B27 B31:B33 B37:B39"/>
    <dataValidation type="textLength" operator="between" allowBlank="1" showInputMessage="1" showErrorMessage="1" promptTitle="序列要求" prompt="一、序列大小写均可以，兼并碱基请用以下代码:R(A,g),Y(C,T),M(A,C),K(g,T),S(g,C),W(A,T),H(A,T,C),B(g,T,C),V(g,A,C),D(g,A,T), N(A,T,g,C)；为配合我们自动录入，序列中请不要使用空格或其它非序列信息符号；&#10;二、如需要中间修饰，请把修饰代码放入序列中您需要标记的位置，多种修饰或多个修饰请依次填写。中间修饰名称及代码请参照 sheet《修饰名称》" sqref="C3:C7 C11:C15 C19:C21 C25:C27 C31:C33 C37:C39">
      <formula1>4</formula1>
      <formula2>150</formula2>
    </dataValidation>
    <dataValidation allowBlank="1" showInputMessage="1" showErrorMessage="1" promptTitle="填写说明" prompt="根据您的实验填写所需的OD量，1 OD ≈ 33μg 一般PCR扩增，20个碱基左右引物2 OD，可以做400-500次50μl标准PCR反应。" sqref="F3:F7 F11:F15 F19:F21 F25:F27 F31:F33 F37:F39"/>
    <dataValidation type="list" allowBlank="1" showInputMessage="1" showErrorMessage="1" promptTitle="填写说明" prompt="请通过下拉框选择适合的Oligo纯化方式" sqref="G3:G7 G14:G15">
      <formula1>"HAP,PAGE,ULTRAPAGE,HPLC,HPLC_CE,IE-HPLC,2X HPLC,PAGE+HPLC"</formula1>
    </dataValidation>
    <dataValidation type="list" allowBlank="1" showInputMessage="1" showErrorMessage="1" promptTitle="填写说明" prompt="请通过下拉框选择适合的Oligo纯化方式" sqref="G11:G13 G19:G21 G25:G27 G31:G33 G37:G39">
      <formula1>"HAP,PAGE,ULTRAPAGE,HPLC,HPLC_CE"</formula1>
    </dataValidation>
    <dataValidation allowBlank="1" showInputMessage="1" showErrorMessage="1" promptTitle="填写说明" prompt="为了便于您使用，我们提供以nmole为产量的合成。通常情况下20个碱基的引物 5 nmoles ≈ 1 OD" sqref="H3:H7 H11:H15 H19:H21 H25:H27 H31:H33 H37:H39"/>
  </dataValidations>
  <pageMargins left="0.75" right="0.75" top="1" bottom="1" header="0.5" footer="0.5"/>
  <pageSetup paperSize="9" orientation="portrait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showGridLines="0" zoomScale="115" zoomScaleNormal="115" workbookViewId="0">
      <selection activeCell="A3" sqref="A3"/>
    </sheetView>
  </sheetViews>
  <sheetFormatPr defaultColWidth="0" defaultRowHeight="14" zeroHeight="1"/>
  <cols>
    <col min="1" max="9" width="9.83333333333333" style="2" customWidth="1"/>
    <col min="10" max="16384" width="9" style="2" hidden="1"/>
  </cols>
  <sheetData>
    <row r="1" ht="34.5" customHeight="1" spans="1:9">
      <c r="A1" s="3" t="s">
        <v>759</v>
      </c>
      <c r="B1" s="3"/>
      <c r="C1" s="3"/>
      <c r="D1" s="3"/>
      <c r="E1" s="3"/>
      <c r="F1" s="3"/>
      <c r="G1" s="3"/>
      <c r="H1" s="3"/>
      <c r="I1" s="3"/>
    </row>
    <row r="2" s="1" customFormat="1" ht="139.5" customHeight="1" spans="1:9">
      <c r="A2" s="4" t="s">
        <v>760</v>
      </c>
      <c r="B2" s="4"/>
      <c r="C2" s="4"/>
      <c r="D2" s="4"/>
      <c r="E2" s="4"/>
      <c r="F2" s="4"/>
      <c r="G2" s="4"/>
      <c r="H2" s="4"/>
      <c r="I2" s="4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1"/>
      <c r="B4" s="1"/>
      <c r="C4" s="1"/>
      <c r="D4" s="1"/>
      <c r="E4" s="1"/>
      <c r="F4" s="1" t="s">
        <v>761</v>
      </c>
      <c r="G4" s="5"/>
      <c r="H4" s="1" t="s">
        <v>762</v>
      </c>
      <c r="I4" s="5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2">
    <mergeCell ref="A1:I1"/>
    <mergeCell ref="A2:I2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Samsung Electronics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引物合成订购表</vt:lpstr>
      <vt:lpstr>修饰名称</vt:lpstr>
      <vt:lpstr>帮助</vt:lpstr>
      <vt:lpstr>填写示例</vt:lpstr>
      <vt:lpstr>生物安全承诺书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umr</cp:lastModifiedBy>
  <cp:revision>1</cp:revision>
  <dcterms:created xsi:type="dcterms:W3CDTF">2006-01-18T06:55:00Z</dcterms:created>
  <cp:lastPrinted>2016-08-29T04:02:00Z</cp:lastPrinted>
  <dcterms:modified xsi:type="dcterms:W3CDTF">2026-02-28T08:39:55Z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BDFE8A7DEF93493095F661F90198653A_13</vt:lpwstr>
  </property>
  <property fmtid="{D5CDD505-2E9C-101B-9397-08002B2CF9AE}" pid="4" name="CalculationRule">
    <vt:i4>0</vt:i4>
  </property>
</Properties>
</file>